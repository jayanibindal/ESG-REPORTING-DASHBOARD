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YANI BINDAL\Downloads\"/>
    </mc:Choice>
  </mc:AlternateContent>
  <xr:revisionPtr revIDLastSave="0" documentId="13_ncr:1_{29640618-4C97-4CDF-B1F6-EFC12F739C19}" xr6:coauthVersionLast="47" xr6:coauthVersionMax="47" xr10:uidLastSave="{00000000-0000-0000-0000-000000000000}"/>
  <bookViews>
    <workbookView xWindow="-110" yWindow="-110" windowWidth="19420" windowHeight="11500" tabRatio="500" activeTab="5" xr2:uid="{00000000-000D-0000-FFFF-FFFF00000000}"/>
  </bookViews>
  <sheets>
    <sheet name="Task Brief" sheetId="1" r:id="rId1"/>
    <sheet name="Plant ESG Quarterly" sheetId="2" r:id="rId2"/>
    <sheet name="Data Dictionary" sheetId="3" r:id="rId3"/>
    <sheet name="AI Use Log" sheetId="4" r:id="rId4"/>
    <sheet name="BRSR Indicator Mapping" sheetId="5" r:id="rId5"/>
    <sheet name="Plant Analysis" sheetId="6" r:id="rId6"/>
  </sheets>
  <definedNames>
    <definedName name="_xlnm._FilterDatabase" localSheetId="1" hidden="1">'Plant ESG Quarterly'!$A$1:$M$41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6" l="1"/>
  <c r="G6" i="6"/>
  <c r="G7" i="6"/>
  <c r="G8" i="6"/>
  <c r="G4" i="6"/>
  <c r="F5" i="6"/>
  <c r="F6" i="6"/>
  <c r="F7" i="6"/>
  <c r="F8" i="6"/>
  <c r="F4" i="6"/>
  <c r="E5" i="6"/>
  <c r="E6" i="6"/>
  <c r="E7" i="6"/>
  <c r="E8" i="6"/>
  <c r="E4" i="6"/>
  <c r="D4" i="6"/>
  <c r="D5" i="6"/>
  <c r="D6" i="6"/>
  <c r="D7" i="6"/>
  <c r="D8" i="6"/>
  <c r="C5" i="6"/>
  <c r="C6" i="6"/>
  <c r="C7" i="6"/>
  <c r="C8" i="6"/>
  <c r="C4" i="6"/>
  <c r="B5" i="6"/>
  <c r="B6" i="6"/>
  <c r="B7" i="6"/>
  <c r="B8" i="6"/>
  <c r="B4" i="6"/>
  <c r="E23" i="6"/>
  <c r="E22" i="6"/>
  <c r="E21" i="6"/>
  <c r="E20" i="6"/>
  <c r="E19" i="6"/>
  <c r="E18" i="6"/>
  <c r="E17" i="6"/>
  <c r="E16" i="6"/>
  <c r="E15" i="6"/>
  <c r="D16" i="6"/>
  <c r="D17" i="6"/>
  <c r="D18" i="6"/>
  <c r="D19" i="6"/>
  <c r="D20" i="6"/>
  <c r="D21" i="6"/>
  <c r="D22" i="6"/>
  <c r="D23" i="6"/>
  <c r="D15" i="6"/>
  <c r="C23" i="6"/>
  <c r="C22" i="6"/>
  <c r="C21" i="6"/>
  <c r="C20" i="6"/>
  <c r="C19" i="6"/>
  <c r="C18" i="6"/>
  <c r="C17" i="6"/>
  <c r="C16" i="6"/>
  <c r="C15" i="6"/>
  <c r="B23" i="6"/>
  <c r="B22" i="6"/>
  <c r="B21" i="6"/>
  <c r="B20" i="6"/>
  <c r="B19" i="6"/>
  <c r="B18" i="6"/>
  <c r="B17" i="6"/>
  <c r="B16" i="6"/>
  <c r="B15" i="6"/>
  <c r="K5" i="6"/>
  <c r="K6" i="6"/>
  <c r="K7" i="6"/>
  <c r="K8" i="6"/>
  <c r="K4" i="6"/>
  <c r="J4" i="6"/>
  <c r="J5" i="6"/>
  <c r="J6" i="6"/>
  <c r="J7" i="6"/>
  <c r="J8" i="6"/>
  <c r="I5" i="6"/>
  <c r="I6" i="6"/>
  <c r="I7" i="6"/>
  <c r="I8" i="6"/>
  <c r="I4" i="6"/>
  <c r="H5" i="6"/>
  <c r="H6" i="6"/>
  <c r="H7" i="6"/>
  <c r="H8" i="6"/>
  <c r="H4" i="6"/>
  <c r="C23" i="1"/>
</calcChain>
</file>

<file path=xl/sharedStrings.xml><?xml version="1.0" encoding="utf-8"?>
<sst xmlns="http://schemas.openxmlformats.org/spreadsheetml/2006/main" count="483" uniqueCount="284">
  <si>
    <t>T20  ESG reporting dashboard</t>
  </si>
  <si>
    <t>Mini project | 30 marks | Build something with free LLM tools</t>
  </si>
  <si>
    <t>Task ID</t>
  </si>
  <si>
    <t>T20</t>
  </si>
  <si>
    <t>Task</t>
  </si>
  <si>
    <t>ESG reporting dashboard</t>
  </si>
  <si>
    <t>Theme</t>
  </si>
  <si>
    <t>No-code apps &amp; dashboards</t>
  </si>
  <si>
    <t>Suggested free tools</t>
  </si>
  <si>
    <t>Gemini Canvas, ChatGPT Canvas or Claude (free) to generate the app; Excel / Google Sheets to verify numbers</t>
  </si>
  <si>
    <t>What students do</t>
  </si>
  <si>
    <t>1. Build a dashboard of emissions, renewable share, water, waste and safety by plant and quarter.
2. Ask an LLM which BRSR-style indicators these map to, and verify against the SEBI BRSR format.
3. Identify best and worst plants.
4. Write a draft ESG highlights page.</t>
  </si>
  <si>
    <t>Deliverables</t>
  </si>
  <si>
    <t>Dashboard; indicator mapping; ESG highlights page; AI-use log</t>
  </si>
  <si>
    <t>Dataset in this file</t>
  </si>
  <si>
    <t>5 plants x 8 quarters of ESG metrics
- 'Plant ESG Quarterly' sheet: 40 rows x 13 columns</t>
  </si>
  <si>
    <t>About the data</t>
  </si>
  <si>
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</si>
  <si>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>Team size</t>
  </si>
  <si>
    <t>Individual (or pairs if your faculty allows)</t>
  </si>
  <si>
    <t>Responsible AI rules</t>
  </si>
  <si>
    <t>Use only free tools; never paste real personal or confidential data into public AI tools; verify every number the AI gives you; disclose AI-generated content.</t>
  </si>
  <si>
    <t>Submission</t>
  </si>
  <si>
    <t>1) Build link / file / screen recording  2) This workbook with your outputs added as new sheets  3) Completed 'AI Use Log' sheet (minimum 15 entries)  4) 3-5 page report with recommendation and reflection</t>
  </si>
  <si>
    <t>Evaluation rubric (30 marks)</t>
  </si>
  <si>
    <t>Criterion</t>
  </si>
  <si>
    <t>What is assessed</t>
  </si>
  <si>
    <t>Marks</t>
  </si>
  <si>
    <t>Excellent</t>
  </si>
  <si>
    <t>Good</t>
  </si>
  <si>
    <t>Fair</t>
  </si>
  <si>
    <t>Poor</t>
  </si>
  <si>
    <t>1. Working build</t>
  </si>
  <si>
    <t>Tool / bot / app / automation works end to end on the provided data; link, file or screen recording submitted</t>
  </si>
  <si>
    <t>Runs fully (7-8)</t>
  </si>
  <si>
    <t>Minor gaps (5-6)</t>
  </si>
  <si>
    <t>Partly working (3-4)</t>
  </si>
  <si>
    <t>Not working (0-2)</t>
  </si>
  <si>
    <t>2. Correctness and verification</t>
  </si>
  <si>
    <t>Outputs checked against the data or gold labels; accuracy measured; errors found and fixed</t>
  </si>
  <si>
    <t>Systematic checks with numbers (6-7)</t>
  </si>
  <si>
    <t>Some checks (4-5)</t>
  </si>
  <si>
    <t>Few checks (2-3)</t>
  </si>
  <si>
    <t>None (0-1)</t>
  </si>
  <si>
    <t>3. Prompting and iteration</t>
  </si>
  <si>
    <t>Clear, structured prompts; at least 3 documented improvement rounds with reasons</t>
  </si>
  <si>
    <t>Strong iteration (5)</t>
  </si>
  <si>
    <t>Some iteration (3-4)</t>
  </si>
  <si>
    <t>Mostly one-shot (2)</t>
  </si>
  <si>
    <t>No log (0-1)</t>
  </si>
  <si>
    <t>4. Business insight and recommendation</t>
  </si>
  <si>
    <t>Specific, data-backed recommendation for the stated manager or customer</t>
  </si>
  <si>
    <t>Actionable and quantified (6)</t>
  </si>
  <si>
    <t>Sound but generic (4-5)</t>
  </si>
  <si>
    <t>Descriptive only (2-3)</t>
  </si>
  <si>
    <t>Missing (0-1)</t>
  </si>
  <si>
    <t>5. Documentation and reflection</t>
  </si>
  <si>
    <t>Complete AI-use log, limitations, responsible-AI notes and personal reflection</t>
  </si>
  <si>
    <t>Complete and honest (4)</t>
  </si>
  <si>
    <t>Mostly complete (3)</t>
  </si>
  <si>
    <t>Thin (2)</t>
  </si>
  <si>
    <t>Total</t>
  </si>
  <si>
    <t>plant</t>
  </si>
  <si>
    <t>quarter</t>
  </si>
  <si>
    <t>scope1_emissions_tco2e</t>
  </si>
  <si>
    <t>scope2_emissions_tco2e</t>
  </si>
  <si>
    <t>renewable_energy_share</t>
  </si>
  <si>
    <t>water_withdrawn_kl</t>
  </si>
  <si>
    <t>waste_recycled_share</t>
  </si>
  <si>
    <t>hazardous_waste_tonnes</t>
  </si>
  <si>
    <t>lost_time_injuries</t>
  </si>
  <si>
    <t>ltifr_per_million_hours</t>
  </si>
  <si>
    <t>training_hours_per_employee</t>
  </si>
  <si>
    <t>women_in_workforce_share</t>
  </si>
  <si>
    <t>headcount</t>
  </si>
  <si>
    <t>Pune Plant</t>
  </si>
  <si>
    <t>Q1 FY25</t>
  </si>
  <si>
    <t>Q2 FY25</t>
  </si>
  <si>
    <t>Q3 FY25</t>
  </si>
  <si>
    <t>Q4 FY25</t>
  </si>
  <si>
    <t>Q1 FY26</t>
  </si>
  <si>
    <t>Q2 FY26</t>
  </si>
  <si>
    <t>Q3 FY26</t>
  </si>
  <si>
    <t>Q4 FY26</t>
  </si>
  <si>
    <t>Nashik Plant</t>
  </si>
  <si>
    <t>Chennai Plant</t>
  </si>
  <si>
    <t>Baddi Plant</t>
  </si>
  <si>
    <t>Sanand Plant</t>
  </si>
  <si>
    <t>sheet</t>
  </si>
  <si>
    <t>column</t>
  </si>
  <si>
    <t>data_type</t>
  </si>
  <si>
    <t>example_value</t>
  </si>
  <si>
    <t>non_empty_values</t>
  </si>
  <si>
    <t>distinct_values</t>
  </si>
  <si>
    <t>Plant ESG Quarterly</t>
  </si>
  <si>
    <t>Text</t>
  </si>
  <si>
    <t>Whole number</t>
  </si>
  <si>
    <t>1251</t>
  </si>
  <si>
    <t>3389</t>
  </si>
  <si>
    <t>Decimal number</t>
  </si>
  <si>
    <t>0.11</t>
  </si>
  <si>
    <t>51987</t>
  </si>
  <si>
    <t>0.57</t>
  </si>
  <si>
    <t>95.5</t>
  </si>
  <si>
    <t>2</t>
  </si>
  <si>
    <t>2.04</t>
  </si>
  <si>
    <t>13</t>
  </si>
  <si>
    <t>0.16</t>
  </si>
  <si>
    <t>1424</t>
  </si>
  <si>
    <t>AI Use Log - fill one row per prompt (minimum 15). Yellow cells are for you to fill; row 4 is an example.</t>
  </si>
  <si>
    <t>Evidence = shared chat link or screenshot file name. Keep rejected outputs too - they earn marks under 'Prompting and iteration'.</t>
  </si>
  <si>
    <t>#</t>
  </si>
  <si>
    <t>date</t>
  </si>
  <si>
    <t>tool</t>
  </si>
  <si>
    <t>model / mode</t>
  </si>
  <si>
    <t>settings used (if any)</t>
  </si>
  <si>
    <t>prompt (exact text)</t>
  </si>
  <si>
    <t>what the output did well / badly</t>
  </si>
  <si>
    <t>what I changed next and why</t>
  </si>
  <si>
    <t>kept or rejected</t>
  </si>
  <si>
    <t>evidence link / file</t>
  </si>
  <si>
    <t>Rejected</t>
  </si>
  <si>
    <t>Dashboard Metric</t>
  </si>
  <si>
    <t>Source Column</t>
  </si>
  <si>
    <t>Unit</t>
  </si>
  <si>
    <t>BRSR-style Topic</t>
  </si>
  <si>
    <t>Calculation / Definition</t>
  </si>
  <si>
    <t>Verification Status</t>
  </si>
  <si>
    <t>Indicator/ Disclosure Area</t>
  </si>
  <si>
    <t>Scope 1 Emissions</t>
  </si>
  <si>
    <t>Scope 2 Emissions</t>
  </si>
  <si>
    <t>Total Emissions</t>
  </si>
  <si>
    <t>Renewable Energy Share</t>
  </si>
  <si>
    <t>Water Withdrawn</t>
  </si>
  <si>
    <t>Waste Recycled Share</t>
  </si>
  <si>
    <t>Hazardous Waste</t>
  </si>
  <si>
    <t>Lost Time Injuries</t>
  </si>
  <si>
    <t>LTIFR</t>
  </si>
  <si>
    <t>Training Hours per Employee</t>
  </si>
  <si>
    <t>Women in Workforce Share</t>
  </si>
  <si>
    <t>Headcount</t>
  </si>
  <si>
    <t>Scope 1 + Scope 2</t>
  </si>
  <si>
    <t> Mapping is BRSR-style and aligns dashboard metrics with relevant ESG disclosure areas; it is not a claim that every metric is an exact BRSR disclosure field.</t>
  </si>
  <si>
    <t>tCO₂e</t>
  </si>
  <si>
    <t>GHG Emissions</t>
  </si>
  <si>
    <t>Direct GHG emissions</t>
  </si>
  <si>
    <t>Reported value from source data</t>
  </si>
  <si>
    <t>Verified</t>
  </si>
  <si>
    <t>Indirect energy-related GHG emissions</t>
  </si>
  <si>
    <t>Total reported emissions</t>
  </si>
  <si>
    <t>%</t>
  </si>
  <si>
    <t>Energy Management</t>
  </si>
  <si>
    <t>Renewable energy share</t>
  </si>
  <si>
    <t>Source decimal × 100</t>
  </si>
  <si>
    <t>kL</t>
  </si>
  <si>
    <t>Water Management</t>
  </si>
  <si>
    <t>Water withdrawal</t>
  </si>
  <si>
    <t>Waste Management</t>
  </si>
  <si>
    <t>Waste recycling</t>
  </si>
  <si>
    <t>tonnes</t>
  </si>
  <si>
    <t>Hazardous waste</t>
  </si>
  <si>
    <t>count</t>
  </si>
  <si>
    <t>Occupational Health &amp; Safety</t>
  </si>
  <si>
    <t>Lost-time injuries</t>
  </si>
  <si>
    <t>Reported count</t>
  </si>
  <si>
    <t>per million hours</t>
  </si>
  <si>
    <t>Lost Time Injury Frequency Rate</t>
  </si>
  <si>
    <t>Use reported LTIFR directly</t>
  </si>
  <si>
    <t>hours/employee</t>
  </si>
  <si>
    <t>Employee Development</t>
  </si>
  <si>
    <t>Training</t>
  </si>
  <si>
    <t>Reported training hours per employee</t>
  </si>
  <si>
    <t>Diversity &amp; Inclusion</t>
  </si>
  <si>
    <t>Women in workforce</t>
  </si>
  <si>
    <t>employees</t>
  </si>
  <si>
    <t>Workforce</t>
  </si>
  <si>
    <t>Total workforce</t>
  </si>
  <si>
    <t>Reported headcount</t>
  </si>
  <si>
    <t>Plant-Level ESG Analysis – FY25 &amp; FY26</t>
  </si>
  <si>
    <t>Plant</t>
  </si>
  <si>
    <t>Total Emissions (tCO₂e)</t>
  </si>
  <si>
    <t>Avg Renewable Share</t>
  </si>
  <si>
    <t>Total Water Withdrawn (kL)</t>
  </si>
  <si>
    <t>Avg Waste Recycled Share</t>
  </si>
  <si>
    <t>Total Hazardous Waste (tonnes)</t>
  </si>
  <si>
    <t>Total LTIs</t>
  </si>
  <si>
    <t>Avg LTIFR</t>
  </si>
  <si>
    <t>Avg Training Hours/Employee</t>
  </si>
  <si>
    <t>Avg Women Workforce Share</t>
  </si>
  <si>
    <t>Avg Headcount</t>
  </si>
  <si>
    <t>FY25 vs FY26 ESG Performance</t>
  </si>
  <si>
    <t>Metric</t>
  </si>
  <si>
    <t>FY25</t>
  </si>
  <si>
    <t>FY26</t>
  </si>
  <si>
    <t>Change</t>
  </si>
  <si>
    <t>Interpretation</t>
  </si>
  <si>
    <t>Average Renewable Share</t>
  </si>
  <si>
    <t>Average Waste Recycled Share</t>
  </si>
  <si>
    <t>Total Lost Time Injuries</t>
  </si>
  <si>
    <t>Average LTIFR</t>
  </si>
  <si>
    <t>Average Training Hours/Employee</t>
  </si>
  <si>
    <t>Average Women Workforce Share</t>
  </si>
  <si>
    <t>Microsoft Excel</t>
  </si>
  <si>
    <t>Not applicable – spreadsheet verification</t>
  </si>
  <si>
    <t>Using the attached ESG reporting dashboard task brief and dataset, help me build an ESG reporting dashboard showing emissions, renewable share, water, waste and safety by plant and quarter.</t>
  </si>
  <si>
    <t>Generated an initial dashboard structure with KPI cards, charts and filters.</t>
  </si>
  <si>
    <t>Reviewed the proposed structure against the assignment requirements.</t>
  </si>
  <si>
    <t>Kept</t>
  </si>
  <si>
    <t>Screenshot 1</t>
  </si>
  <si>
    <t>Create an interactive ESG reporting dashboard using the uploaded Excel workbook, with plant and quarter filters and visualizations for emissions, renewable energy, water, waste and safety.</t>
  </si>
  <si>
    <t>Generated the dashboard, but some visualizations were blank after the Excel upload.</t>
  </si>
  <si>
    <t>Checked the workbook's actual column names and compared them with the fields expected by the dashboard.</t>
  </si>
  <si>
    <t>Screenshot 2</t>
  </si>
  <si>
    <t>The visualizations are coming up blank after I upload the Excel data in the dashboard.</t>
  </si>
  <si>
    <t>Helped identify that the dashboard was not correctly matching the uploaded data fields.</t>
  </si>
  <si>
    <t>Investigated the source Excel columns and identified the mismatch between expected and actual field names.</t>
  </si>
  <si>
    <t>Screenshot 3</t>
  </si>
  <si>
    <t>Use these exact column names from the Plant ESG Quarterly sheet and update the dashboard data mapping so the uploaded Excel data is used correctly.</t>
  </si>
  <si>
    <t>Corrected the data mapping to match the actual workbook fields.</t>
  </si>
  <si>
    <t>Specified the exact source columns and instructed the dashboard not to invent unavailable fields.</t>
  </si>
  <si>
    <t>Screenshot 4</t>
  </si>
  <si>
    <t>Use renewable_energy_share directly from the uploaded data instead of calculating it from Total Energy or other unavailable columns.</t>
  </si>
  <si>
    <t>Correctly used the supplied renewable-energy percentage.</t>
  </si>
  <si>
    <t>Verified that renewable_energy_share was already provided in the workbook.</t>
  </si>
  <si>
    <t>Screenshot 5</t>
  </si>
  <si>
    <t>Use waste_recycled_share directly from the uploaded data and do not calculate it from Waste Generated because that field is not provided.</t>
  </si>
  <si>
    <t>Correctly mapped the waste-recycling metric to the source field.</t>
  </si>
  <si>
    <t>Confirmed that waste_recycled_share exists and Waste Generated does not.</t>
  </si>
  <si>
    <t>Screenshot 6</t>
  </si>
  <si>
    <t>Use ltifr_per_million_hours directly from the uploaded data and do not recalculate LTIFR using unavailable Hours Worked data.</t>
  </si>
  <si>
    <t>Correctly used the reported LTIFR values.</t>
  </si>
  <si>
    <t>Checked the source columns and prevented an incorrect recalculation.</t>
  </si>
  <si>
    <t>Screenshot 7</t>
  </si>
  <si>
    <t>Make sure the uploaded Excel file populates all KPI cards, the plant and quarter filters use the actual values, and the charts contain the uploaded data.</t>
  </si>
  <si>
    <t>Corrected dashboard populated the KPI cards and charts.</t>
  </si>
  <si>
    <t>Retested the dashboard after the data-mapping changes.</t>
  </si>
  <si>
    <t>Screenshot 8</t>
  </si>
  <si>
    <t>Calculate plant-level ESG performance from the Plant ESG Quarterly sheet for total emissions, renewable share, water, waste, hazardous waste, LTIs, LTIFR, training, women workforce share and headcount.</t>
  </si>
  <si>
    <t>Produced numerical plant-level summaries for verification.</t>
  </si>
  <si>
    <t>Created the Plant Analysis sheet using SUMIFS and AVERAGEIFS.</t>
  </si>
  <si>
    <t>Plant Analysis</t>
  </si>
  <si>
    <t>Calculate the average renewable energy share for each plant using the renewable_energy_share column.</t>
  </si>
  <si>
    <t>The formula initially produced an error for Nashik.</t>
  </si>
  <si>
    <t>Found an extra space in the Nashik Plant name and corrected it so the formulas matched the source data.</t>
  </si>
  <si>
    <t>Calculate FY25 versus FY26 performance for emissions, renewable share, water, waste, hazardous waste, injuries, LTIFR, training and women workforce share.</t>
  </si>
  <si>
    <t>Created a structured FY25/FY26 comparison.</t>
  </si>
  <si>
    <t>Used totals for quantity-based indicators and averages for percentage/rate indicators.</t>
  </si>
  <si>
    <t>FY25-FY26 Analysis</t>
  </si>
  <si>
    <t>Map the available ESG metrics to relevant BRSR-style topics using only the indicators present in the dataset.</t>
  </si>
  <si>
    <t>Produced a topic-based BRSR-style mapping.</t>
  </si>
  <si>
    <t>Kept the mapping at a topic level and avoided claiming unavailable fields were present.</t>
  </si>
  <si>
    <t>Screenshot 12</t>
  </si>
  <si>
    <t>Identify important plant-level ESG observations from the dashboard data, including emissions, renewable energy, water, waste and safety.</t>
  </si>
  <si>
    <t>Identified differences between plants.</t>
  </si>
  <si>
    <t>Compared the observations with the Plant Analysis calculations and retained only data-supported observations.</t>
  </si>
  <si>
    <t>Screenshot 13</t>
  </si>
  <si>
    <t>Draft an ESG highlights page using the verified FY25 and FY26 results, including environmental and social performance.</t>
  </si>
  <si>
    <t>Produced a management-oriented ESG highlights structure.</t>
  </si>
  <si>
    <t>Revised the wording to include both improvements and areas requiring attention.</t>
  </si>
  <si>
    <t>Provide practical management recommendations based on the verified ESG results and link each recommendation to a measurable indicator.</t>
  </si>
  <si>
    <t>Generated recommendations connected to ESG indicators.</t>
  </si>
  <si>
    <t>Revised them so each recommendation was linked to a measurable metric.</t>
  </si>
  <si>
    <t>Verify the plant-level calculations against the original Plant ESG Quarterly source data before using the results in the final ESG highlights page.</t>
  </si>
  <si>
    <t>Enabled verification of the dashboard results against the source data.</t>
  </si>
  <si>
    <t>Corrected the Nashik Plant name mismatch and rechecked the complete plant analysis table.</t>
  </si>
  <si>
    <t>Review the completed ESG dashboard against the assignment requirements and identify any remaining issues with the dashboard, verification, AI-use documentation and ESG recommendations.</t>
  </si>
  <si>
    <t>Provided a final checklist for the assignment.</t>
  </si>
  <si>
    <t>Used the checklist to confirm the dashboard, verification, BRSR mapping, ESG highlights and AI-use log were covered.</t>
  </si>
  <si>
    <t>Gemini (paid)</t>
  </si>
  <si>
    <t>Gemini 3.1 Pro for Web, Canvas</t>
  </si>
  <si>
    <t>ChatGPT</t>
  </si>
  <si>
    <t>GPT-5.6 Luna</t>
  </si>
  <si>
    <t>I'm currently doing an assignment for a subject "AI Powered Tools". I'm giving you the task given to me for the assignment and I want you to explain to me first on what to do and how to do.</t>
  </si>
  <si>
    <t>Helped break the 30-mark rubric into working build, verification, prompting, business insights, and documentation.</t>
  </si>
  <si>
    <t>Used the rubric to plan the project workflow before making further changes.</t>
  </si>
  <si>
    <t>Walk me through exactly what to put in each Excel sheet, cell by cell, #div/0 error comin in c5</t>
  </si>
  <si>
    <t>Provided formulas for emissions, renewable share, water, recycling, h+F10+G8</t>
  </si>
  <si>
    <t>Checked the formulas against the plant names and corrected the Nashik Plant issue caused by an extra space.</t>
  </si>
  <si>
    <t>kept</t>
  </si>
  <si>
    <t xml:space="preserve">https://drive.google.com/drive/folders/128P7jwk4uu7-nwbP0VUSRc-vPzER-V_-?usp=sharing </t>
  </si>
  <si>
    <t>Chatgpt 2</t>
  </si>
  <si>
    <t>Screenshot 9</t>
  </si>
  <si>
    <t>Screenshot 10</t>
  </si>
  <si>
    <t>Screenshot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</si>
</sst>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0.000"/>
  </numFmts>
  <fonts count="16">
    <font>
      <sz val="10"/>
      <name val="Arial"/>
      <charset val="1"/>
    </font>
    <font>
      <b/>
      <sz val="14"/>
      <color rgb="FF1F4E5A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b/>
      <sz val="12"/>
      <color rgb="FF1F4E5A"/>
      <name val="Arial"/>
      <charset val="1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  <font>
      <i/>
      <sz val="9"/>
      <color rgb="FF555555"/>
      <name val="Arial"/>
      <charset val="1"/>
    </font>
    <font>
      <sz val="10"/>
      <name val="Arial"/>
      <charset val="1"/>
    </font>
    <font>
      <sz val="10"/>
      <name val="Arial"/>
      <family val="2"/>
    </font>
    <font>
      <sz val="7"/>
      <color rgb="FF0D0D0D"/>
      <name val="Consolas"/>
      <family val="3"/>
    </font>
    <font>
      <sz val="10"/>
      <name val="Arial Unicode MS"/>
    </font>
    <font>
      <sz val="11"/>
      <name val="Times New Roman"/>
      <family val="1"/>
    </font>
    <font>
      <b/>
      <sz val="14"/>
      <name val="Times New Roman"/>
      <family val="1"/>
    </font>
    <font>
      <b/>
      <sz val="10"/>
      <name val="Arial"/>
      <family val="2"/>
    </font>
    <font>
      <u/>
      <sz val="10"/>
      <color theme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>
      <left style="thin">
        <color rgb="FFC9D3D6"/>
      </left>
      <right style="thin">
        <color rgb="FFC9D3D6"/>
      </right>
      <top style="thin">
        <color rgb="FFC9D3D6"/>
      </top>
      <bottom/>
      <diagonal/>
    </border>
    <border>
      <left style="thin">
        <color rgb="FFC9D3D6"/>
      </left>
      <right style="thin">
        <color rgb="FFC9D3D6"/>
      </right>
      <top/>
      <bottom style="thin">
        <color rgb="FFC9D3D6"/>
      </bottom>
      <diagonal/>
    </border>
    <border>
      <left style="thin">
        <color rgb="FFC9D3D6"/>
      </left>
      <right/>
      <top style="thin">
        <color rgb="FFC9D3D6"/>
      </top>
      <bottom style="thin">
        <color rgb="FFC9D3D6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3" fillId="0" borderId="0" xfId="0" applyFont="1"/>
    <xf numFmtId="164" fontId="6" fillId="0" borderId="0" xfId="0" applyNumberFormat="1" applyFont="1"/>
    <xf numFmtId="0" fontId="7" fillId="0" borderId="0" xfId="0" applyFont="1"/>
    <xf numFmtId="165" fontId="6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0" fillId="0" borderId="0" xfId="0" applyFont="1"/>
    <xf numFmtId="0" fontId="9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10" fontId="12" fillId="0" borderId="0" xfId="1" applyNumberFormat="1" applyFont="1"/>
    <xf numFmtId="166" fontId="12" fillId="0" borderId="0" xfId="0" applyNumberFormat="1" applyFont="1"/>
    <xf numFmtId="0" fontId="12" fillId="0" borderId="0" xfId="0" applyFont="1" applyAlignment="1">
      <alignment vertical="center" wrapText="1"/>
    </xf>
    <xf numFmtId="164" fontId="12" fillId="0" borderId="0" xfId="1" applyNumberFormat="1" applyFont="1"/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165" fontId="6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top" wrapText="1"/>
    </xf>
    <xf numFmtId="0" fontId="6" fillId="4" borderId="4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/>
    </xf>
    <xf numFmtId="0" fontId="15" fillId="5" borderId="5" xfId="2" applyFill="1" applyBorder="1" applyAlignment="1">
      <alignment horizontal="left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Unicode MS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B1EADA-61CC-4F48-B6FD-6AF7C8B823BE}" name="Table1" displayName="Table1" ref="A1:G13" totalsRowShown="0" headerRowDxfId="28" dataDxfId="27">
  <autoFilter ref="A1:G13" xr:uid="{E9B1EADA-61CC-4F48-B6FD-6AF7C8B823BE}"/>
  <tableColumns count="7">
    <tableColumn id="1" xr3:uid="{D3D95207-CCB9-4364-8854-7612C1E45613}" name="Dashboard Metric" dataDxfId="26"/>
    <tableColumn id="2" xr3:uid="{82F04642-C575-4016-950A-C2CCDFD33238}" name="Source Column" dataDxfId="25"/>
    <tableColumn id="3" xr3:uid="{B4A0721D-4A4B-46F1-A2A9-57FB52BAE1B6}" name="Unit" dataDxfId="24"/>
    <tableColumn id="4" xr3:uid="{6097C385-D0F6-4004-809B-5ABBA40F3F10}" name="BRSR-style Topic" dataDxfId="23"/>
    <tableColumn id="5" xr3:uid="{CEFA3F14-DE18-4111-9889-84F31B2D93A1}" name="Indicator/ Disclosure Area" dataDxfId="22"/>
    <tableColumn id="6" xr3:uid="{A21EA8E6-348F-4CE0-A03F-4BD18F736ABA}" name="Calculation / Definition" dataDxfId="21"/>
    <tableColumn id="7" xr3:uid="{58BC8D55-2D1F-4B30-BDCC-46743E0A7237}" name="Verification Status" dataDxfId="2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8DEBA9-35A0-4BAF-9407-88C06D97E77F}" name="Table2" displayName="Table2" ref="A3:K8" totalsRowShown="0" headerRowDxfId="19" dataDxfId="18">
  <autoFilter ref="A3:K8" xr:uid="{008DEBA9-35A0-4BAF-9407-88C06D97E77F}"/>
  <tableColumns count="11">
    <tableColumn id="1" xr3:uid="{17C59683-8FA1-4622-97D1-41BA4C6F3736}" name="Plant" dataDxfId="17"/>
    <tableColumn id="2" xr3:uid="{5B20DDAB-7CD2-4038-992B-80AB909C2844}" name="Total Emissions (tCO₂e)" dataDxfId="16">
      <calculatedColumnFormula>SUMIFS('Plant ESG Quarterly'!$C:$C,'Plant ESG Quarterly'!$A:$A,$A4)+SUMIFS('Plant ESG Quarterly'!$D:$D,'Plant ESG Quarterly'!$A:$A,$A4)</calculatedColumnFormula>
    </tableColumn>
    <tableColumn id="3" xr3:uid="{D39D9A24-5CB3-4CAD-A1FA-B18D7D0CB555}" name="Avg Renewable Share" dataDxfId="15" dataCellStyle="Percent">
      <calculatedColumnFormula>AVERAGEIFS('Plant ESG Quarterly'!$E:$E,'Plant ESG Quarterly'!$A:$A,$A4)</calculatedColumnFormula>
    </tableColumn>
    <tableColumn id="4" xr3:uid="{45C8DEE3-2476-441C-9B84-10CDD5FB0489}" name="Total Water Withdrawn (kL)" dataDxfId="14">
      <calculatedColumnFormula>SUMIFS('Plant ESG Quarterly'!$F:$F,'Plant ESG Quarterly'!$A:$A,$A4)</calculatedColumnFormula>
    </tableColumn>
    <tableColumn id="5" xr3:uid="{FC74D9D4-D6BB-4AD5-9B2E-2359DE9104E4}" name="Avg Waste Recycled Share" dataDxfId="13" dataCellStyle="Percent">
      <calculatedColumnFormula>AVERAGEIFS('Plant ESG Quarterly'!$G:$G,'Plant ESG Quarterly'!$A:$A,$A4)</calculatedColumnFormula>
    </tableColumn>
    <tableColumn id="6" xr3:uid="{9E1675DA-9476-4EEC-83FB-A1BFF2B50892}" name="Total Hazardous Waste (tonnes)" dataDxfId="12">
      <calculatedColumnFormula>SUMIFS('Plant ESG Quarterly'!$H:$H,'Plant ESG Quarterly'!$A:$A,$A4)</calculatedColumnFormula>
    </tableColumn>
    <tableColumn id="7" xr3:uid="{E1DAADA1-AFD5-49E9-9643-A6153097474B}" name="Total LTIs" dataDxfId="11">
      <calculatedColumnFormula>SUMIFS('Plant ESG Quarterly'!$I:$I,'Plant ESG Quarterly'!$A:$A,$A4)</calculatedColumnFormula>
    </tableColumn>
    <tableColumn id="8" xr3:uid="{1B0B931B-DFD2-4B98-9855-E773E049E35E}" name="Avg LTIFR" dataDxfId="10">
      <calculatedColumnFormula>AVERAGEIFS('Plant ESG Quarterly'!$J:$J,'Plant ESG Quarterly'!$A:$A,$A4)</calculatedColumnFormula>
    </tableColumn>
    <tableColumn id="9" xr3:uid="{250F4F91-9073-4A4D-96E6-C0793353E25C}" name="Avg Training Hours/Employee" dataDxfId="9">
      <calculatedColumnFormula>AVERAGEIFS('Plant ESG Quarterly'!$K:$K,'Plant ESG Quarterly'!$A:$A,$A4)</calculatedColumnFormula>
    </tableColumn>
    <tableColumn id="10" xr3:uid="{A9621535-AD40-437A-8BD8-51808F128EE4}" name="Avg Women Workforce Share" dataDxfId="8" dataCellStyle="Percent">
      <calculatedColumnFormula>AVERAGEIFS('Plant ESG Quarterly'!$L:$L,'Plant ESG Quarterly'!$A:$A,$A4)</calculatedColumnFormula>
    </tableColumn>
    <tableColumn id="11" xr3:uid="{95F3C2D1-12B9-4390-AA16-3989133C5EAD}" name="Avg Headcount" dataDxfId="7">
      <calculatedColumnFormula>AVERAGEIFS('Plant ESG Quarterly'!$M:$M,'Plant ESG Quarterly'!$A:$A,$A4)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A1D3ED-6E57-40A7-A9C4-269E47573B04}" name="Table3" displayName="Table3" ref="A14:E23" totalsRowShown="0" headerRowDxfId="6" dataDxfId="5">
  <autoFilter ref="A14:E23" xr:uid="{66A1D3ED-6E57-40A7-A9C4-269E47573B04}"/>
  <tableColumns count="5">
    <tableColumn id="1" xr3:uid="{3D1CAD56-18D6-4100-BA66-22628D830FBC}" name="Metric" dataDxfId="4"/>
    <tableColumn id="2" xr3:uid="{2ED63AE1-3F8B-406C-A01A-DF89CACB467F}" name="FY25" dataDxfId="3"/>
    <tableColumn id="3" xr3:uid="{39BA26A4-3A56-4266-A200-D807757D88F9}" name="FY26" dataDxfId="2"/>
    <tableColumn id="4" xr3:uid="{6FC81790-B267-4E11-9625-7E02A58A0D0D}" name="Change" dataDxfId="1">
      <calculatedColumnFormula>C15-B15</calculatedColumnFormula>
    </tableColumn>
    <tableColumn id="5" xr3:uid="{5C8BDF6E-7287-45A0-AD53-22E986381A10}" name="Interpretation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28P7jwk4uu7-nwbP0VUSRc-vPzER-V_-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opLeftCell="A4" zoomScaleNormal="100" workbookViewId="0">
      <selection activeCell="C12" sqref="C12"/>
    </sheetView>
  </sheetViews>
  <sheetFormatPr defaultColWidth="8.6328125" defaultRowHeight="12.5"/>
  <cols>
    <col min="1" max="1" width="26" customWidth="1"/>
    <col min="2" max="2" width="95" customWidth="1"/>
    <col min="3" max="3" width="10" customWidth="1"/>
    <col min="4" max="4" width="22" customWidth="1"/>
    <col min="5" max="6" width="20" customWidth="1"/>
    <col min="7" max="7" width="16" customWidth="1"/>
  </cols>
  <sheetData>
    <row r="1" spans="1:2" ht="18">
      <c r="A1" s="1" t="s">
        <v>0</v>
      </c>
    </row>
    <row r="2" spans="1:2" ht="13">
      <c r="A2" s="2" t="s">
        <v>1</v>
      </c>
    </row>
    <row r="4" spans="1:2" ht="18" customHeight="1">
      <c r="A4" s="3" t="s">
        <v>2</v>
      </c>
      <c r="B4" s="4" t="s">
        <v>3</v>
      </c>
    </row>
    <row r="5" spans="1:2" ht="18" customHeight="1">
      <c r="A5" s="3" t="s">
        <v>4</v>
      </c>
      <c r="B5" s="4" t="s">
        <v>5</v>
      </c>
    </row>
    <row r="6" spans="1:2" ht="18" customHeight="1">
      <c r="A6" s="3" t="s">
        <v>6</v>
      </c>
      <c r="B6" s="4" t="s">
        <v>7</v>
      </c>
    </row>
    <row r="7" spans="1:2" ht="27.75" customHeight="1">
      <c r="A7" s="3" t="s">
        <v>8</v>
      </c>
      <c r="B7" s="4" t="s">
        <v>9</v>
      </c>
    </row>
    <row r="8" spans="1:2" ht="84" customHeight="1">
      <c r="A8" s="3" t="s">
        <v>10</v>
      </c>
      <c r="B8" s="4" t="s">
        <v>11</v>
      </c>
    </row>
    <row r="9" spans="1:2" ht="18" customHeight="1">
      <c r="A9" s="3" t="s">
        <v>12</v>
      </c>
      <c r="B9" s="4" t="s">
        <v>13</v>
      </c>
    </row>
    <row r="10" spans="1:2" ht="27.75" customHeight="1">
      <c r="A10" s="3" t="s">
        <v>14</v>
      </c>
      <c r="B10" s="4" t="s">
        <v>15</v>
      </c>
    </row>
    <row r="11" spans="1:2" ht="42" customHeight="1">
      <c r="A11" s="3" t="s">
        <v>16</v>
      </c>
      <c r="B11" s="4" t="s">
        <v>17</v>
      </c>
    </row>
    <row r="12" spans="1:2" ht="18" customHeight="1">
      <c r="A12" s="3" t="s">
        <v>18</v>
      </c>
      <c r="B12" s="4" t="s">
        <v>19</v>
      </c>
    </row>
    <row r="13" spans="1:2" ht="27.75" customHeight="1">
      <c r="A13" s="3" t="s">
        <v>20</v>
      </c>
      <c r="B13" s="4" t="s">
        <v>21</v>
      </c>
    </row>
    <row r="14" spans="1:2" ht="42" customHeight="1">
      <c r="A14" s="3" t="s">
        <v>22</v>
      </c>
      <c r="B14" s="4" t="s">
        <v>23</v>
      </c>
    </row>
    <row r="16" spans="1:2" ht="15.5">
      <c r="A16" s="5" t="s">
        <v>24</v>
      </c>
    </row>
    <row r="17" spans="1:7" ht="13">
      <c r="A17" s="6" t="s">
        <v>25</v>
      </c>
      <c r="B17" s="6" t="s">
        <v>26</v>
      </c>
      <c r="C17" s="6" t="s">
        <v>27</v>
      </c>
      <c r="D17" s="6" t="s">
        <v>28</v>
      </c>
      <c r="E17" s="6" t="s">
        <v>29</v>
      </c>
      <c r="F17" s="6" t="s">
        <v>30</v>
      </c>
      <c r="G17" s="6" t="s">
        <v>31</v>
      </c>
    </row>
    <row r="18" spans="1:7" ht="42" customHeight="1">
      <c r="A18" s="7" t="s">
        <v>32</v>
      </c>
      <c r="B18" s="7" t="s">
        <v>33</v>
      </c>
      <c r="C18" s="7">
        <v>8</v>
      </c>
      <c r="D18" s="7" t="s">
        <v>34</v>
      </c>
      <c r="E18" s="7" t="s">
        <v>35</v>
      </c>
      <c r="F18" s="7" t="s">
        <v>36</v>
      </c>
      <c r="G18" s="7" t="s">
        <v>37</v>
      </c>
    </row>
    <row r="19" spans="1:7" ht="42" customHeight="1">
      <c r="A19" s="7" t="s">
        <v>38</v>
      </c>
      <c r="B19" s="7" t="s">
        <v>39</v>
      </c>
      <c r="C19" s="7">
        <v>7</v>
      </c>
      <c r="D19" s="7" t="s">
        <v>40</v>
      </c>
      <c r="E19" s="7" t="s">
        <v>41</v>
      </c>
      <c r="F19" s="7" t="s">
        <v>42</v>
      </c>
      <c r="G19" s="7" t="s">
        <v>43</v>
      </c>
    </row>
    <row r="20" spans="1:7" ht="42" customHeight="1">
      <c r="A20" s="7" t="s">
        <v>44</v>
      </c>
      <c r="B20" s="7" t="s">
        <v>45</v>
      </c>
      <c r="C20" s="7">
        <v>5</v>
      </c>
      <c r="D20" s="7" t="s">
        <v>46</v>
      </c>
      <c r="E20" s="7" t="s">
        <v>47</v>
      </c>
      <c r="F20" s="7" t="s">
        <v>48</v>
      </c>
      <c r="G20" s="7" t="s">
        <v>49</v>
      </c>
    </row>
    <row r="21" spans="1:7" ht="42" customHeight="1">
      <c r="A21" s="7" t="s">
        <v>50</v>
      </c>
      <c r="B21" s="7" t="s">
        <v>51</v>
      </c>
      <c r="C21" s="7">
        <v>6</v>
      </c>
      <c r="D21" s="7" t="s">
        <v>52</v>
      </c>
      <c r="E21" s="7" t="s">
        <v>53</v>
      </c>
      <c r="F21" s="7" t="s">
        <v>54</v>
      </c>
      <c r="G21" s="7" t="s">
        <v>55</v>
      </c>
    </row>
    <row r="22" spans="1:7" ht="42" customHeight="1">
      <c r="A22" s="7" t="s">
        <v>56</v>
      </c>
      <c r="B22" s="7" t="s">
        <v>57</v>
      </c>
      <c r="C22" s="7">
        <v>4</v>
      </c>
      <c r="D22" s="7" t="s">
        <v>58</v>
      </c>
      <c r="E22" s="7" t="s">
        <v>59</v>
      </c>
      <c r="F22" s="7" t="s">
        <v>60</v>
      </c>
      <c r="G22" s="7" t="s">
        <v>55</v>
      </c>
    </row>
    <row r="23" spans="1:7" ht="13">
      <c r="A23" s="8" t="s">
        <v>61</v>
      </c>
      <c r="C23" s="8">
        <f>SUM(C18:C22)</f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topLeftCell="C1" zoomScaleNormal="100" workbookViewId="0">
      <pane ySplit="1" topLeftCell="A25" activePane="bottomLeft" state="frozen"/>
      <selection pane="bottomLeft" activeCell="E45" sqref="E45"/>
    </sheetView>
  </sheetViews>
  <sheetFormatPr defaultColWidth="8.6328125" defaultRowHeight="12.5"/>
  <cols>
    <col min="1" max="1" width="13" customWidth="1"/>
    <col min="2" max="2" width="10" customWidth="1"/>
    <col min="3" max="5" width="24" customWidth="1"/>
    <col min="6" max="6" width="20" customWidth="1"/>
    <col min="7" max="7" width="22" customWidth="1"/>
    <col min="8" max="8" width="24" customWidth="1"/>
    <col min="9" max="9" width="20" customWidth="1"/>
    <col min="10" max="10" width="25" customWidth="1"/>
    <col min="11" max="11" width="29" customWidth="1"/>
    <col min="12" max="12" width="26" customWidth="1"/>
    <col min="13" max="13" width="11" customWidth="1"/>
  </cols>
  <sheetData>
    <row r="1" spans="1:13" ht="13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  <c r="K1" s="6" t="s">
        <v>72</v>
      </c>
      <c r="L1" s="6" t="s">
        <v>73</v>
      </c>
      <c r="M1" s="6" t="s">
        <v>74</v>
      </c>
    </row>
    <row r="2" spans="1:13" ht="14.5">
      <c r="A2" t="s">
        <v>75</v>
      </c>
      <c r="B2" t="s">
        <v>76</v>
      </c>
      <c r="C2">
        <v>1251</v>
      </c>
      <c r="D2">
        <v>3389</v>
      </c>
      <c r="E2" s="9">
        <v>0.11</v>
      </c>
      <c r="F2">
        <v>51987</v>
      </c>
      <c r="G2" s="9">
        <v>0.56999999999999995</v>
      </c>
      <c r="H2">
        <v>95.5</v>
      </c>
      <c r="I2">
        <v>2</v>
      </c>
      <c r="J2">
        <v>2.04</v>
      </c>
      <c r="K2">
        <v>13</v>
      </c>
      <c r="L2" s="9">
        <v>0.16</v>
      </c>
      <c r="M2">
        <v>1424</v>
      </c>
    </row>
    <row r="3" spans="1:13" ht="14.5">
      <c r="A3" t="s">
        <v>75</v>
      </c>
      <c r="B3" t="s">
        <v>77</v>
      </c>
      <c r="C3">
        <v>1387</v>
      </c>
      <c r="D3">
        <v>3733</v>
      </c>
      <c r="E3" s="9">
        <v>0.19</v>
      </c>
      <c r="F3">
        <v>58371</v>
      </c>
      <c r="G3" s="9">
        <v>0.63</v>
      </c>
      <c r="H3">
        <v>85.9</v>
      </c>
      <c r="I3">
        <v>1</v>
      </c>
      <c r="J3">
        <v>2.11</v>
      </c>
      <c r="K3">
        <v>14</v>
      </c>
      <c r="L3" s="9">
        <v>0.14000000000000001</v>
      </c>
      <c r="M3">
        <v>1023</v>
      </c>
    </row>
    <row r="4" spans="1:13" ht="14.5">
      <c r="A4" t="s">
        <v>75</v>
      </c>
      <c r="B4" t="s">
        <v>78</v>
      </c>
      <c r="C4">
        <v>1326</v>
      </c>
      <c r="D4">
        <v>3915</v>
      </c>
      <c r="E4" s="9">
        <v>0.2</v>
      </c>
      <c r="F4">
        <v>57934</v>
      </c>
      <c r="G4" s="9">
        <v>0.59</v>
      </c>
      <c r="H4">
        <v>110.1</v>
      </c>
      <c r="I4">
        <v>1</v>
      </c>
      <c r="J4">
        <v>1.67</v>
      </c>
      <c r="K4">
        <v>20</v>
      </c>
      <c r="L4" s="9">
        <v>0.18</v>
      </c>
      <c r="M4">
        <v>1443</v>
      </c>
    </row>
    <row r="5" spans="1:13" ht="14.5">
      <c r="A5" t="s">
        <v>75</v>
      </c>
      <c r="B5" t="s">
        <v>79</v>
      </c>
      <c r="C5">
        <v>1248</v>
      </c>
      <c r="D5">
        <v>3858</v>
      </c>
      <c r="E5" s="9">
        <v>0.2</v>
      </c>
      <c r="F5">
        <v>57514</v>
      </c>
      <c r="G5" s="9">
        <v>0.66</v>
      </c>
      <c r="H5">
        <v>90.4</v>
      </c>
      <c r="I5">
        <v>1</v>
      </c>
      <c r="J5">
        <v>1.17</v>
      </c>
      <c r="K5">
        <v>22</v>
      </c>
      <c r="L5" s="9">
        <v>0.2</v>
      </c>
      <c r="M5">
        <v>1152</v>
      </c>
    </row>
    <row r="6" spans="1:13" ht="14.5">
      <c r="A6" t="s">
        <v>75</v>
      </c>
      <c r="B6" t="s">
        <v>80</v>
      </c>
      <c r="C6">
        <v>1346</v>
      </c>
      <c r="D6">
        <v>3650</v>
      </c>
      <c r="E6" s="9">
        <v>0.23</v>
      </c>
      <c r="F6">
        <v>56409</v>
      </c>
      <c r="G6" s="9">
        <v>0.6</v>
      </c>
      <c r="H6">
        <v>114</v>
      </c>
      <c r="I6">
        <v>2</v>
      </c>
      <c r="J6">
        <v>1.73</v>
      </c>
      <c r="K6">
        <v>14</v>
      </c>
      <c r="L6" s="9">
        <v>0.21</v>
      </c>
      <c r="M6">
        <v>959</v>
      </c>
    </row>
    <row r="7" spans="1:13" ht="14.5">
      <c r="A7" t="s">
        <v>75</v>
      </c>
      <c r="B7" t="s">
        <v>81</v>
      </c>
      <c r="C7">
        <v>1243</v>
      </c>
      <c r="D7">
        <v>3426</v>
      </c>
      <c r="E7" s="9">
        <v>0.27</v>
      </c>
      <c r="F7">
        <v>50617</v>
      </c>
      <c r="G7" s="9">
        <v>0.67</v>
      </c>
      <c r="H7">
        <v>103.3</v>
      </c>
      <c r="I7">
        <v>0</v>
      </c>
      <c r="J7">
        <v>1.19</v>
      </c>
      <c r="K7">
        <v>10</v>
      </c>
      <c r="L7" s="9">
        <v>0.22</v>
      </c>
      <c r="M7">
        <v>975</v>
      </c>
    </row>
    <row r="8" spans="1:13" ht="14.5">
      <c r="A8" t="s">
        <v>75</v>
      </c>
      <c r="B8" t="s">
        <v>82</v>
      </c>
      <c r="C8">
        <v>1129</v>
      </c>
      <c r="D8">
        <v>3149</v>
      </c>
      <c r="E8" s="9">
        <v>0.31</v>
      </c>
      <c r="F8">
        <v>52740</v>
      </c>
      <c r="G8" s="9">
        <v>0.76</v>
      </c>
      <c r="H8">
        <v>113.9</v>
      </c>
      <c r="I8">
        <v>1</v>
      </c>
      <c r="J8">
        <v>1.69</v>
      </c>
      <c r="K8">
        <v>10</v>
      </c>
      <c r="L8" s="9">
        <v>0.23</v>
      </c>
      <c r="M8">
        <v>1112</v>
      </c>
    </row>
    <row r="9" spans="1:13" ht="14.5">
      <c r="A9" t="s">
        <v>75</v>
      </c>
      <c r="B9" t="s">
        <v>83</v>
      </c>
      <c r="C9">
        <v>1203</v>
      </c>
      <c r="D9">
        <v>3065</v>
      </c>
      <c r="E9" s="9">
        <v>0.33</v>
      </c>
      <c r="F9">
        <v>50763</v>
      </c>
      <c r="G9" s="9">
        <v>0.76</v>
      </c>
      <c r="H9">
        <v>83.4</v>
      </c>
      <c r="I9">
        <v>1</v>
      </c>
      <c r="J9">
        <v>1.06</v>
      </c>
      <c r="K9">
        <v>8</v>
      </c>
      <c r="L9" s="9">
        <v>0.25</v>
      </c>
      <c r="M9">
        <v>1327</v>
      </c>
    </row>
    <row r="10" spans="1:13" ht="14.5">
      <c r="A10" t="s">
        <v>84</v>
      </c>
      <c r="B10" t="s">
        <v>76</v>
      </c>
      <c r="C10">
        <v>1070</v>
      </c>
      <c r="D10">
        <v>3290</v>
      </c>
      <c r="E10" s="9">
        <v>0.12</v>
      </c>
      <c r="F10">
        <v>52779</v>
      </c>
      <c r="G10" s="9">
        <v>0.57999999999999996</v>
      </c>
      <c r="H10">
        <v>73.8</v>
      </c>
      <c r="I10">
        <v>1</v>
      </c>
      <c r="J10">
        <v>2.19</v>
      </c>
      <c r="K10">
        <v>16</v>
      </c>
      <c r="L10" s="9">
        <v>0.18</v>
      </c>
      <c r="M10">
        <v>1079</v>
      </c>
    </row>
    <row r="11" spans="1:13" ht="14.5">
      <c r="A11" t="s">
        <v>84</v>
      </c>
      <c r="B11" t="s">
        <v>77</v>
      </c>
      <c r="C11">
        <v>1109</v>
      </c>
      <c r="D11">
        <v>2998</v>
      </c>
      <c r="E11" s="9">
        <v>0.16</v>
      </c>
      <c r="F11">
        <v>51167</v>
      </c>
      <c r="G11" s="9">
        <v>0.53</v>
      </c>
      <c r="H11">
        <v>68.5</v>
      </c>
      <c r="I11">
        <v>1</v>
      </c>
      <c r="J11">
        <v>1.68</v>
      </c>
      <c r="K11">
        <v>16</v>
      </c>
      <c r="L11" s="9">
        <v>0.22</v>
      </c>
      <c r="M11">
        <v>1046</v>
      </c>
    </row>
    <row r="12" spans="1:13" ht="14.5">
      <c r="A12" t="s">
        <v>84</v>
      </c>
      <c r="B12" t="s">
        <v>78</v>
      </c>
      <c r="C12">
        <v>1056</v>
      </c>
      <c r="D12">
        <v>2785</v>
      </c>
      <c r="E12" s="9">
        <v>0.17</v>
      </c>
      <c r="F12">
        <v>44174</v>
      </c>
      <c r="G12" s="9">
        <v>0.59</v>
      </c>
      <c r="H12">
        <v>96.9</v>
      </c>
      <c r="I12">
        <v>1</v>
      </c>
      <c r="J12">
        <v>2.17</v>
      </c>
      <c r="K12">
        <v>23</v>
      </c>
      <c r="L12" s="9">
        <v>0.18</v>
      </c>
      <c r="M12">
        <v>1298</v>
      </c>
    </row>
    <row r="13" spans="1:13" ht="14.5">
      <c r="A13" t="s">
        <v>84</v>
      </c>
      <c r="B13" t="s">
        <v>79</v>
      </c>
      <c r="C13">
        <v>1146</v>
      </c>
      <c r="D13">
        <v>3258</v>
      </c>
      <c r="E13" s="9">
        <v>0.23</v>
      </c>
      <c r="F13">
        <v>47518</v>
      </c>
      <c r="G13" s="9">
        <v>0.64</v>
      </c>
      <c r="H13">
        <v>85.2</v>
      </c>
      <c r="I13">
        <v>1</v>
      </c>
      <c r="J13">
        <v>2.17</v>
      </c>
      <c r="K13">
        <v>14</v>
      </c>
      <c r="L13" s="9">
        <v>0.18</v>
      </c>
      <c r="M13">
        <v>900</v>
      </c>
    </row>
    <row r="14" spans="1:13" ht="14.5">
      <c r="A14" t="s">
        <v>84</v>
      </c>
      <c r="B14" t="s">
        <v>80</v>
      </c>
      <c r="C14">
        <v>1053</v>
      </c>
      <c r="D14">
        <v>2769</v>
      </c>
      <c r="E14" s="9">
        <v>0.3</v>
      </c>
      <c r="F14">
        <v>45486</v>
      </c>
      <c r="G14" s="9">
        <v>0.61</v>
      </c>
      <c r="H14">
        <v>78.099999999999994</v>
      </c>
      <c r="I14">
        <v>0</v>
      </c>
      <c r="J14">
        <v>1.72</v>
      </c>
      <c r="K14">
        <v>13</v>
      </c>
      <c r="L14" s="9">
        <v>0.23</v>
      </c>
      <c r="M14">
        <v>1165</v>
      </c>
    </row>
    <row r="15" spans="1:13" ht="14.5">
      <c r="A15" t="s">
        <v>84</v>
      </c>
      <c r="B15" t="s">
        <v>81</v>
      </c>
      <c r="C15">
        <v>950</v>
      </c>
      <c r="D15">
        <v>2908</v>
      </c>
      <c r="E15" s="9">
        <v>0.3</v>
      </c>
      <c r="F15">
        <v>43726</v>
      </c>
      <c r="G15" s="9">
        <v>0.68</v>
      </c>
      <c r="H15">
        <v>70.900000000000006</v>
      </c>
      <c r="I15">
        <v>2</v>
      </c>
      <c r="J15">
        <v>1.51</v>
      </c>
      <c r="K15">
        <v>21</v>
      </c>
      <c r="L15" s="9">
        <v>0.25</v>
      </c>
      <c r="M15">
        <v>1356</v>
      </c>
    </row>
    <row r="16" spans="1:13" ht="14.5">
      <c r="A16" t="s">
        <v>84</v>
      </c>
      <c r="B16" t="s">
        <v>82</v>
      </c>
      <c r="C16">
        <v>1060</v>
      </c>
      <c r="D16">
        <v>2824</v>
      </c>
      <c r="E16" s="9">
        <v>0.32</v>
      </c>
      <c r="F16">
        <v>42838</v>
      </c>
      <c r="G16" s="9">
        <v>0.69</v>
      </c>
      <c r="H16">
        <v>97.6</v>
      </c>
      <c r="I16">
        <v>2</v>
      </c>
      <c r="J16">
        <v>1.97</v>
      </c>
      <c r="K16">
        <v>11</v>
      </c>
      <c r="L16" s="9">
        <v>0.25</v>
      </c>
      <c r="M16">
        <v>1227</v>
      </c>
    </row>
    <row r="17" spans="1:13" ht="14.5">
      <c r="A17" t="s">
        <v>84</v>
      </c>
      <c r="B17" t="s">
        <v>83</v>
      </c>
      <c r="C17">
        <v>986</v>
      </c>
      <c r="D17">
        <v>3052</v>
      </c>
      <c r="E17" s="9">
        <v>0.35</v>
      </c>
      <c r="F17">
        <v>39329</v>
      </c>
      <c r="G17" s="9">
        <v>0.73</v>
      </c>
      <c r="H17">
        <v>94.8</v>
      </c>
      <c r="I17">
        <v>2</v>
      </c>
      <c r="J17">
        <v>1.66</v>
      </c>
      <c r="K17">
        <v>14</v>
      </c>
      <c r="L17" s="9">
        <v>0.22</v>
      </c>
      <c r="M17">
        <v>1450</v>
      </c>
    </row>
    <row r="18" spans="1:13" ht="14.5">
      <c r="A18" t="s">
        <v>85</v>
      </c>
      <c r="B18" t="s">
        <v>76</v>
      </c>
      <c r="C18">
        <v>1197</v>
      </c>
      <c r="D18">
        <v>3316</v>
      </c>
      <c r="E18" s="9">
        <v>0.1</v>
      </c>
      <c r="F18">
        <v>50358</v>
      </c>
      <c r="G18" s="9">
        <v>0.5</v>
      </c>
      <c r="H18">
        <v>106.3</v>
      </c>
      <c r="I18">
        <v>0</v>
      </c>
      <c r="J18">
        <v>0.94</v>
      </c>
      <c r="K18">
        <v>14</v>
      </c>
      <c r="L18" s="9">
        <v>0.16</v>
      </c>
      <c r="M18">
        <v>916</v>
      </c>
    </row>
    <row r="19" spans="1:13" ht="14.5">
      <c r="A19" t="s">
        <v>85</v>
      </c>
      <c r="B19" t="s">
        <v>77</v>
      </c>
      <c r="C19">
        <v>1297</v>
      </c>
      <c r="D19">
        <v>3500</v>
      </c>
      <c r="E19" s="9">
        <v>0.16</v>
      </c>
      <c r="F19">
        <v>48508</v>
      </c>
      <c r="G19" s="9">
        <v>0.57999999999999996</v>
      </c>
      <c r="H19">
        <v>87.5</v>
      </c>
      <c r="I19">
        <v>1</v>
      </c>
      <c r="J19">
        <v>2.0499999999999998</v>
      </c>
      <c r="K19">
        <v>10</v>
      </c>
      <c r="L19" s="9">
        <v>0.18</v>
      </c>
      <c r="M19">
        <v>1004</v>
      </c>
    </row>
    <row r="20" spans="1:13" ht="14.5">
      <c r="A20" t="s">
        <v>85</v>
      </c>
      <c r="B20" t="s">
        <v>78</v>
      </c>
      <c r="C20">
        <v>1105</v>
      </c>
      <c r="D20">
        <v>3558</v>
      </c>
      <c r="E20" s="9">
        <v>0.17</v>
      </c>
      <c r="F20">
        <v>47351</v>
      </c>
      <c r="G20" s="9">
        <v>0.59</v>
      </c>
      <c r="H20">
        <v>75.099999999999994</v>
      </c>
      <c r="I20">
        <v>1</v>
      </c>
      <c r="J20">
        <v>2.13</v>
      </c>
      <c r="K20">
        <v>15</v>
      </c>
      <c r="L20" s="9">
        <v>0.22</v>
      </c>
      <c r="M20">
        <v>1373</v>
      </c>
    </row>
    <row r="21" spans="1:13" ht="14.5">
      <c r="A21" t="s">
        <v>85</v>
      </c>
      <c r="B21" t="s">
        <v>79</v>
      </c>
      <c r="C21">
        <v>1073</v>
      </c>
      <c r="D21">
        <v>3353</v>
      </c>
      <c r="E21" s="9">
        <v>0.24</v>
      </c>
      <c r="F21">
        <v>54608</v>
      </c>
      <c r="G21" s="9">
        <v>0.61</v>
      </c>
      <c r="H21">
        <v>101.1</v>
      </c>
      <c r="I21">
        <v>4</v>
      </c>
      <c r="J21">
        <v>1.02</v>
      </c>
      <c r="K21">
        <v>23</v>
      </c>
      <c r="L21" s="9">
        <v>0.21</v>
      </c>
      <c r="M21">
        <v>1238</v>
      </c>
    </row>
    <row r="22" spans="1:13" ht="14.5">
      <c r="A22" t="s">
        <v>85</v>
      </c>
      <c r="B22" t="s">
        <v>80</v>
      </c>
      <c r="C22">
        <v>1265</v>
      </c>
      <c r="D22">
        <v>3014</v>
      </c>
      <c r="E22" s="9">
        <v>0.24</v>
      </c>
      <c r="F22">
        <v>54439</v>
      </c>
      <c r="G22" s="9">
        <v>0.66</v>
      </c>
      <c r="H22">
        <v>101.6</v>
      </c>
      <c r="I22">
        <v>0</v>
      </c>
      <c r="J22">
        <v>1.94</v>
      </c>
      <c r="K22">
        <v>20</v>
      </c>
      <c r="L22" s="9">
        <v>0.2</v>
      </c>
      <c r="M22">
        <v>1463</v>
      </c>
    </row>
    <row r="23" spans="1:13" ht="14.5">
      <c r="A23" t="s">
        <v>85</v>
      </c>
      <c r="B23" t="s">
        <v>81</v>
      </c>
      <c r="C23">
        <v>1125</v>
      </c>
      <c r="D23">
        <v>3104</v>
      </c>
      <c r="E23" s="9">
        <v>0.28999999999999998</v>
      </c>
      <c r="F23">
        <v>54558</v>
      </c>
      <c r="G23" s="9">
        <v>0.68</v>
      </c>
      <c r="H23">
        <v>104.5</v>
      </c>
      <c r="I23">
        <v>3</v>
      </c>
      <c r="J23">
        <v>2.19</v>
      </c>
      <c r="K23">
        <v>15</v>
      </c>
      <c r="L23" s="9">
        <v>0.28999999999999998</v>
      </c>
      <c r="M23">
        <v>956</v>
      </c>
    </row>
    <row r="24" spans="1:13" ht="14.5">
      <c r="A24" t="s">
        <v>85</v>
      </c>
      <c r="B24" t="s">
        <v>82</v>
      </c>
      <c r="C24">
        <v>1213</v>
      </c>
      <c r="D24">
        <v>3471</v>
      </c>
      <c r="E24" s="9">
        <v>0.3</v>
      </c>
      <c r="F24">
        <v>53381</v>
      </c>
      <c r="G24" s="9">
        <v>0.7</v>
      </c>
      <c r="H24">
        <v>108.2</v>
      </c>
      <c r="I24">
        <v>0</v>
      </c>
      <c r="J24">
        <v>1.91</v>
      </c>
      <c r="K24">
        <v>17</v>
      </c>
      <c r="L24" s="9">
        <v>0.23</v>
      </c>
      <c r="M24">
        <v>1104</v>
      </c>
    </row>
    <row r="25" spans="1:13" ht="14.5">
      <c r="A25" t="s">
        <v>85</v>
      </c>
      <c r="B25" t="s">
        <v>83</v>
      </c>
      <c r="C25">
        <v>1113</v>
      </c>
      <c r="D25">
        <v>2998</v>
      </c>
      <c r="E25" s="9">
        <v>0.33</v>
      </c>
      <c r="F25">
        <v>44644</v>
      </c>
      <c r="G25" s="9">
        <v>0.76</v>
      </c>
      <c r="H25">
        <v>83.2</v>
      </c>
      <c r="I25">
        <v>2</v>
      </c>
      <c r="J25">
        <v>1.87</v>
      </c>
      <c r="K25">
        <v>20</v>
      </c>
      <c r="L25" s="9">
        <v>0.26</v>
      </c>
      <c r="M25">
        <v>1571</v>
      </c>
    </row>
    <row r="26" spans="1:13" ht="14.5">
      <c r="A26" t="s">
        <v>86</v>
      </c>
      <c r="B26" t="s">
        <v>76</v>
      </c>
      <c r="C26">
        <v>1340</v>
      </c>
      <c r="D26">
        <v>4110</v>
      </c>
      <c r="E26" s="9">
        <v>0.1</v>
      </c>
      <c r="F26">
        <v>66191</v>
      </c>
      <c r="G26" s="9">
        <v>0.55000000000000004</v>
      </c>
      <c r="H26">
        <v>102.1</v>
      </c>
      <c r="I26">
        <v>1</v>
      </c>
      <c r="J26">
        <v>1.9</v>
      </c>
      <c r="K26">
        <v>22</v>
      </c>
      <c r="L26" s="9">
        <v>0.15</v>
      </c>
      <c r="M26">
        <v>905</v>
      </c>
    </row>
    <row r="27" spans="1:13" ht="14.5">
      <c r="A27" t="s">
        <v>86</v>
      </c>
      <c r="B27" t="s">
        <v>77</v>
      </c>
      <c r="C27">
        <v>1344</v>
      </c>
      <c r="D27">
        <v>4203</v>
      </c>
      <c r="E27" s="9">
        <v>0.13</v>
      </c>
      <c r="F27">
        <v>64435</v>
      </c>
      <c r="G27" s="9">
        <v>0.56999999999999995</v>
      </c>
      <c r="H27">
        <v>89.3</v>
      </c>
      <c r="I27">
        <v>1</v>
      </c>
      <c r="J27">
        <v>2.16</v>
      </c>
      <c r="K27">
        <v>17</v>
      </c>
      <c r="L27" s="9">
        <v>0.21</v>
      </c>
      <c r="M27">
        <v>1292</v>
      </c>
    </row>
    <row r="28" spans="1:13" ht="14.5">
      <c r="A28" t="s">
        <v>86</v>
      </c>
      <c r="B28" t="s">
        <v>78</v>
      </c>
      <c r="C28">
        <v>1355</v>
      </c>
      <c r="D28">
        <v>3692</v>
      </c>
      <c r="E28" s="9">
        <v>0.19</v>
      </c>
      <c r="F28">
        <v>58344</v>
      </c>
      <c r="G28" s="9">
        <v>0.64</v>
      </c>
      <c r="H28">
        <v>100.3</v>
      </c>
      <c r="I28">
        <v>0</v>
      </c>
      <c r="J28">
        <v>2.16</v>
      </c>
      <c r="K28">
        <v>12</v>
      </c>
      <c r="L28" s="9">
        <v>0.18</v>
      </c>
      <c r="M28">
        <v>1458</v>
      </c>
    </row>
    <row r="29" spans="1:13" ht="14.5">
      <c r="A29" t="s">
        <v>86</v>
      </c>
      <c r="B29" t="s">
        <v>79</v>
      </c>
      <c r="C29">
        <v>1402</v>
      </c>
      <c r="D29">
        <v>4040</v>
      </c>
      <c r="E29" s="9">
        <v>0.23</v>
      </c>
      <c r="F29">
        <v>58823</v>
      </c>
      <c r="G29" s="9">
        <v>0.65</v>
      </c>
      <c r="H29">
        <v>87.5</v>
      </c>
      <c r="I29">
        <v>0</v>
      </c>
      <c r="J29">
        <v>1.81</v>
      </c>
      <c r="K29">
        <v>18</v>
      </c>
      <c r="L29" s="9">
        <v>0.19</v>
      </c>
      <c r="M29">
        <v>1126</v>
      </c>
    </row>
    <row r="30" spans="1:13" ht="14.5">
      <c r="A30" t="s">
        <v>86</v>
      </c>
      <c r="B30" t="s">
        <v>80</v>
      </c>
      <c r="C30">
        <v>1421</v>
      </c>
      <c r="D30">
        <v>3992</v>
      </c>
      <c r="E30" s="9">
        <v>0.21</v>
      </c>
      <c r="F30">
        <v>60210</v>
      </c>
      <c r="G30" s="9">
        <v>0.65</v>
      </c>
      <c r="H30">
        <v>85.4</v>
      </c>
      <c r="I30">
        <v>2</v>
      </c>
      <c r="J30">
        <v>2.04</v>
      </c>
      <c r="K30">
        <v>15</v>
      </c>
      <c r="L30" s="9">
        <v>0.25</v>
      </c>
      <c r="M30">
        <v>1103</v>
      </c>
    </row>
    <row r="31" spans="1:13" ht="14.5">
      <c r="A31" t="s">
        <v>86</v>
      </c>
      <c r="B31" t="s">
        <v>81</v>
      </c>
      <c r="C31">
        <v>1380</v>
      </c>
      <c r="D31">
        <v>3524</v>
      </c>
      <c r="E31" s="9">
        <v>0.27</v>
      </c>
      <c r="F31">
        <v>57649</v>
      </c>
      <c r="G31" s="9">
        <v>0.7</v>
      </c>
      <c r="H31">
        <v>125.7</v>
      </c>
      <c r="I31">
        <v>0</v>
      </c>
      <c r="J31">
        <v>1.58</v>
      </c>
      <c r="K31">
        <v>10</v>
      </c>
      <c r="L31" s="9">
        <v>0.24</v>
      </c>
      <c r="M31">
        <v>1355</v>
      </c>
    </row>
    <row r="32" spans="1:13" ht="14.5">
      <c r="A32" t="s">
        <v>86</v>
      </c>
      <c r="B32" t="s">
        <v>82</v>
      </c>
      <c r="C32">
        <v>1368</v>
      </c>
      <c r="D32">
        <v>3546</v>
      </c>
      <c r="E32" s="9">
        <v>0.28000000000000003</v>
      </c>
      <c r="F32">
        <v>53071</v>
      </c>
      <c r="G32" s="9">
        <v>0.77</v>
      </c>
      <c r="H32">
        <v>120.9</v>
      </c>
      <c r="I32">
        <v>0</v>
      </c>
      <c r="J32">
        <v>1.76</v>
      </c>
      <c r="K32">
        <v>15</v>
      </c>
      <c r="L32" s="9">
        <v>0.25</v>
      </c>
      <c r="M32">
        <v>1189</v>
      </c>
    </row>
    <row r="33" spans="1:13" ht="14.5">
      <c r="A33" t="s">
        <v>86</v>
      </c>
      <c r="B33" t="s">
        <v>83</v>
      </c>
      <c r="C33">
        <v>1224</v>
      </c>
      <c r="D33">
        <v>3919</v>
      </c>
      <c r="E33" s="9">
        <v>0.31</v>
      </c>
      <c r="F33">
        <v>51160</v>
      </c>
      <c r="G33" s="9">
        <v>0.76</v>
      </c>
      <c r="H33">
        <v>99.9</v>
      </c>
      <c r="I33">
        <v>1</v>
      </c>
      <c r="J33">
        <v>1.63</v>
      </c>
      <c r="K33">
        <v>19</v>
      </c>
      <c r="L33" s="9">
        <v>0.25</v>
      </c>
      <c r="M33">
        <v>1064</v>
      </c>
    </row>
    <row r="34" spans="1:13" ht="14.5">
      <c r="A34" t="s">
        <v>87</v>
      </c>
      <c r="B34" t="s">
        <v>76</v>
      </c>
      <c r="C34">
        <v>1350</v>
      </c>
      <c r="D34">
        <v>3846</v>
      </c>
      <c r="E34" s="9">
        <v>0.14000000000000001</v>
      </c>
      <c r="F34">
        <v>50585</v>
      </c>
      <c r="G34" s="9">
        <v>0.57999999999999996</v>
      </c>
      <c r="H34">
        <v>106.7</v>
      </c>
      <c r="I34">
        <v>1</v>
      </c>
      <c r="J34">
        <v>2.02</v>
      </c>
      <c r="K34">
        <v>21</v>
      </c>
      <c r="L34" s="9">
        <v>0.18</v>
      </c>
      <c r="M34">
        <v>1164</v>
      </c>
    </row>
    <row r="35" spans="1:13" ht="14.5">
      <c r="A35" t="s">
        <v>87</v>
      </c>
      <c r="B35" t="s">
        <v>77</v>
      </c>
      <c r="C35">
        <v>1218</v>
      </c>
      <c r="D35">
        <v>3530</v>
      </c>
      <c r="E35" s="9">
        <v>0.15</v>
      </c>
      <c r="F35">
        <v>54319</v>
      </c>
      <c r="G35" s="9">
        <v>0.57999999999999996</v>
      </c>
      <c r="H35">
        <v>108</v>
      </c>
      <c r="I35">
        <v>0</v>
      </c>
      <c r="J35">
        <v>1.17</v>
      </c>
      <c r="K35">
        <v>16</v>
      </c>
      <c r="L35" s="9">
        <v>0.17</v>
      </c>
      <c r="M35">
        <v>1345</v>
      </c>
    </row>
    <row r="36" spans="1:13" ht="14.5">
      <c r="A36" t="s">
        <v>87</v>
      </c>
      <c r="B36" t="s">
        <v>78</v>
      </c>
      <c r="C36">
        <v>1220</v>
      </c>
      <c r="D36">
        <v>3462</v>
      </c>
      <c r="E36" s="9">
        <v>0.17</v>
      </c>
      <c r="F36">
        <v>49243</v>
      </c>
      <c r="G36" s="9">
        <v>0.59</v>
      </c>
      <c r="H36">
        <v>108.5</v>
      </c>
      <c r="I36">
        <v>1</v>
      </c>
      <c r="J36">
        <v>1.1100000000000001</v>
      </c>
      <c r="K36">
        <v>13</v>
      </c>
      <c r="L36" s="9">
        <v>0.2</v>
      </c>
      <c r="M36">
        <v>1403</v>
      </c>
    </row>
    <row r="37" spans="1:13" ht="14.5">
      <c r="A37" t="s">
        <v>87</v>
      </c>
      <c r="B37" t="s">
        <v>79</v>
      </c>
      <c r="C37">
        <v>1281</v>
      </c>
      <c r="D37">
        <v>3706</v>
      </c>
      <c r="E37" s="9">
        <v>0.22</v>
      </c>
      <c r="F37">
        <v>53821</v>
      </c>
      <c r="G37" s="9">
        <v>0.68</v>
      </c>
      <c r="H37">
        <v>99.5</v>
      </c>
      <c r="I37">
        <v>2</v>
      </c>
      <c r="J37">
        <v>1.73</v>
      </c>
      <c r="K37">
        <v>17</v>
      </c>
      <c r="L37" s="9">
        <v>0.19</v>
      </c>
      <c r="M37">
        <v>972</v>
      </c>
    </row>
    <row r="38" spans="1:13" ht="14.5">
      <c r="A38" t="s">
        <v>87</v>
      </c>
      <c r="B38" t="s">
        <v>80</v>
      </c>
      <c r="C38">
        <v>1263</v>
      </c>
      <c r="D38">
        <v>3622</v>
      </c>
      <c r="E38" s="9">
        <v>0.27</v>
      </c>
      <c r="F38">
        <v>47664</v>
      </c>
      <c r="G38" s="9">
        <v>0.7</v>
      </c>
      <c r="H38">
        <v>85.3</v>
      </c>
      <c r="I38">
        <v>1</v>
      </c>
      <c r="J38">
        <v>1.18</v>
      </c>
      <c r="K38">
        <v>19</v>
      </c>
      <c r="L38" s="9">
        <v>0.21</v>
      </c>
      <c r="M38">
        <v>1030</v>
      </c>
    </row>
    <row r="39" spans="1:13" ht="14.5">
      <c r="A39" t="s">
        <v>87</v>
      </c>
      <c r="B39" t="s">
        <v>81</v>
      </c>
      <c r="C39">
        <v>1259</v>
      </c>
      <c r="D39">
        <v>3596</v>
      </c>
      <c r="E39" s="9">
        <v>0.25</v>
      </c>
      <c r="F39">
        <v>47892</v>
      </c>
      <c r="G39" s="9">
        <v>0.74</v>
      </c>
      <c r="H39">
        <v>75.3</v>
      </c>
      <c r="I39">
        <v>4</v>
      </c>
      <c r="J39">
        <v>2.08</v>
      </c>
      <c r="K39">
        <v>14</v>
      </c>
      <c r="L39" s="9">
        <v>0.23</v>
      </c>
      <c r="M39">
        <v>1137</v>
      </c>
    </row>
    <row r="40" spans="1:13" ht="14.5">
      <c r="A40" t="s">
        <v>87</v>
      </c>
      <c r="B40" t="s">
        <v>82</v>
      </c>
      <c r="C40">
        <v>1221</v>
      </c>
      <c r="D40">
        <v>3421</v>
      </c>
      <c r="E40" s="9">
        <v>0.34</v>
      </c>
      <c r="F40">
        <v>47096</v>
      </c>
      <c r="G40" s="9">
        <v>0.8</v>
      </c>
      <c r="H40">
        <v>102.3</v>
      </c>
      <c r="I40">
        <v>3</v>
      </c>
      <c r="J40">
        <v>1.1299999999999999</v>
      </c>
      <c r="K40">
        <v>17</v>
      </c>
      <c r="L40" s="9">
        <v>0.25</v>
      </c>
      <c r="M40">
        <v>1280</v>
      </c>
    </row>
    <row r="41" spans="1:13" ht="14.5">
      <c r="A41" t="s">
        <v>87</v>
      </c>
      <c r="B41" t="s">
        <v>83</v>
      </c>
      <c r="C41">
        <v>1229</v>
      </c>
      <c r="D41">
        <v>3516</v>
      </c>
      <c r="E41" s="9">
        <v>0.37</v>
      </c>
      <c r="F41">
        <v>48452</v>
      </c>
      <c r="G41" s="9">
        <v>0.71</v>
      </c>
      <c r="H41">
        <v>79.8</v>
      </c>
      <c r="I41">
        <v>2</v>
      </c>
      <c r="J41">
        <v>0.94</v>
      </c>
      <c r="K41">
        <v>9</v>
      </c>
      <c r="L41" s="9">
        <v>0.26</v>
      </c>
      <c r="M41">
        <v>1018</v>
      </c>
    </row>
  </sheetData>
  <autoFilter ref="A1:M41" xr:uid="{00000000-0009-0000-0000-000001000000}"/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topLeftCell="D1" zoomScale="115" zoomScaleNormal="115" workbookViewId="0">
      <pane ySplit="1" topLeftCell="A2" activePane="bottomLeft" state="frozen"/>
      <selection pane="bottomLeft" activeCell="E2" sqref="E2"/>
    </sheetView>
  </sheetViews>
  <sheetFormatPr defaultColWidth="8.6328125" defaultRowHeight="12.5"/>
  <cols>
    <col min="1" max="1" width="26" customWidth="1"/>
    <col min="2" max="2" width="34" customWidth="1"/>
    <col min="3" max="3" width="16" customWidth="1"/>
    <col min="4" max="4" width="60" customWidth="1"/>
    <col min="5" max="6" width="16" customWidth="1"/>
  </cols>
  <sheetData>
    <row r="1" spans="1:6" ht="26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</row>
    <row r="2" spans="1:6">
      <c r="A2" t="s">
        <v>94</v>
      </c>
      <c r="B2" t="s">
        <v>62</v>
      </c>
      <c r="C2" t="s">
        <v>95</v>
      </c>
      <c r="D2" t="s">
        <v>75</v>
      </c>
      <c r="E2">
        <v>40</v>
      </c>
      <c r="F2">
        <v>5</v>
      </c>
    </row>
    <row r="3" spans="1:6">
      <c r="A3" t="s">
        <v>94</v>
      </c>
      <c r="B3" t="s">
        <v>63</v>
      </c>
      <c r="C3" t="s">
        <v>95</v>
      </c>
      <c r="D3" t="s">
        <v>76</v>
      </c>
      <c r="E3">
        <v>40</v>
      </c>
      <c r="F3">
        <v>8</v>
      </c>
    </row>
    <row r="4" spans="1:6">
      <c r="A4" t="s">
        <v>94</v>
      </c>
      <c r="B4" t="s">
        <v>64</v>
      </c>
      <c r="C4" t="s">
        <v>96</v>
      </c>
      <c r="D4" t="s">
        <v>97</v>
      </c>
      <c r="E4">
        <v>40</v>
      </c>
      <c r="F4">
        <v>40</v>
      </c>
    </row>
    <row r="5" spans="1:6">
      <c r="A5" t="s">
        <v>94</v>
      </c>
      <c r="B5" t="s">
        <v>65</v>
      </c>
      <c r="C5" t="s">
        <v>96</v>
      </c>
      <c r="D5" t="s">
        <v>98</v>
      </c>
      <c r="E5">
        <v>40</v>
      </c>
      <c r="F5">
        <v>39</v>
      </c>
    </row>
    <row r="6" spans="1:6">
      <c r="A6" t="s">
        <v>94</v>
      </c>
      <c r="B6" t="s">
        <v>66</v>
      </c>
      <c r="C6" t="s">
        <v>99</v>
      </c>
      <c r="D6" t="s">
        <v>100</v>
      </c>
      <c r="E6">
        <v>40</v>
      </c>
      <c r="F6">
        <v>25</v>
      </c>
    </row>
    <row r="7" spans="1:6">
      <c r="A7" t="s">
        <v>94</v>
      </c>
      <c r="B7" t="s">
        <v>67</v>
      </c>
      <c r="C7" t="s">
        <v>96</v>
      </c>
      <c r="D7" t="s">
        <v>101</v>
      </c>
      <c r="E7">
        <v>40</v>
      </c>
      <c r="F7">
        <v>40</v>
      </c>
    </row>
    <row r="8" spans="1:6">
      <c r="A8" t="s">
        <v>94</v>
      </c>
      <c r="B8" t="s">
        <v>68</v>
      </c>
      <c r="C8" t="s">
        <v>99</v>
      </c>
      <c r="D8" t="s">
        <v>102</v>
      </c>
      <c r="E8">
        <v>40</v>
      </c>
      <c r="F8">
        <v>22</v>
      </c>
    </row>
    <row r="9" spans="1:6">
      <c r="A9" t="s">
        <v>94</v>
      </c>
      <c r="B9" t="s">
        <v>69</v>
      </c>
      <c r="C9" t="s">
        <v>99</v>
      </c>
      <c r="D9" t="s">
        <v>103</v>
      </c>
      <c r="E9">
        <v>40</v>
      </c>
      <c r="F9">
        <v>39</v>
      </c>
    </row>
    <row r="10" spans="1:6">
      <c r="A10" t="s">
        <v>94</v>
      </c>
      <c r="B10" t="s">
        <v>70</v>
      </c>
      <c r="C10" t="s">
        <v>96</v>
      </c>
      <c r="D10" t="s">
        <v>104</v>
      </c>
      <c r="E10">
        <v>40</v>
      </c>
      <c r="F10">
        <v>5</v>
      </c>
    </row>
    <row r="11" spans="1:6">
      <c r="A11" t="s">
        <v>94</v>
      </c>
      <c r="B11" t="s">
        <v>71</v>
      </c>
      <c r="C11" t="s">
        <v>99</v>
      </c>
      <c r="D11" t="s">
        <v>105</v>
      </c>
      <c r="E11">
        <v>40</v>
      </c>
      <c r="F11">
        <v>33</v>
      </c>
    </row>
    <row r="12" spans="1:6">
      <c r="A12" t="s">
        <v>94</v>
      </c>
      <c r="B12" t="s">
        <v>72</v>
      </c>
      <c r="C12" t="s">
        <v>96</v>
      </c>
      <c r="D12" t="s">
        <v>106</v>
      </c>
      <c r="E12">
        <v>40</v>
      </c>
      <c r="F12">
        <v>16</v>
      </c>
    </row>
    <row r="13" spans="1:6">
      <c r="A13" t="s">
        <v>94</v>
      </c>
      <c r="B13" t="s">
        <v>73</v>
      </c>
      <c r="C13" t="s">
        <v>99</v>
      </c>
      <c r="D13" t="s">
        <v>107</v>
      </c>
      <c r="E13">
        <v>40</v>
      </c>
      <c r="F13">
        <v>14</v>
      </c>
    </row>
    <row r="14" spans="1:6">
      <c r="A14" t="s">
        <v>94</v>
      </c>
      <c r="B14" t="s">
        <v>74</v>
      </c>
      <c r="C14" t="s">
        <v>96</v>
      </c>
      <c r="D14" t="s">
        <v>108</v>
      </c>
      <c r="E14">
        <v>40</v>
      </c>
      <c r="F14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1"/>
  <sheetViews>
    <sheetView topLeftCell="E1" zoomScale="77" zoomScaleNormal="100" workbookViewId="0">
      <pane ySplit="3" topLeftCell="A14" activePane="bottomLeft" state="frozen"/>
      <selection pane="bottomLeft" activeCell="M21" sqref="M21"/>
    </sheetView>
  </sheetViews>
  <sheetFormatPr defaultColWidth="8.6328125" defaultRowHeight="12.5"/>
  <cols>
    <col min="1" max="1" width="5" customWidth="1"/>
    <col min="2" max="2" width="12" customWidth="1"/>
    <col min="3" max="3" width="16" customWidth="1"/>
    <col min="4" max="4" width="16.08984375" bestFit="1" customWidth="1"/>
    <col min="5" max="5" width="18" customWidth="1"/>
    <col min="6" max="6" width="66.26953125" bestFit="1" customWidth="1"/>
    <col min="7" max="8" width="36" customWidth="1"/>
    <col min="9" max="9" width="12" customWidth="1"/>
    <col min="10" max="10" width="22" customWidth="1"/>
    <col min="22" max="22" width="8.7265625" bestFit="1" customWidth="1"/>
    <col min="23" max="23" width="11.26953125" bestFit="1" customWidth="1"/>
    <col min="25" max="25" width="36.90625" customWidth="1"/>
    <col min="30" max="30" width="8.6328125" customWidth="1"/>
  </cols>
  <sheetData>
    <row r="1" spans="1:30" ht="13">
      <c r="A1" s="8" t="s">
        <v>109</v>
      </c>
    </row>
    <row r="2" spans="1:30" ht="13">
      <c r="A2" s="10" t="s">
        <v>110</v>
      </c>
    </row>
    <row r="3" spans="1:30" ht="26">
      <c r="A3" s="6" t="s">
        <v>111</v>
      </c>
      <c r="B3" s="6" t="s">
        <v>112</v>
      </c>
      <c r="C3" s="6" t="s">
        <v>113</v>
      </c>
      <c r="D3" s="6" t="s">
        <v>114</v>
      </c>
      <c r="E3" s="6" t="s">
        <v>115</v>
      </c>
      <c r="F3" s="29" t="s">
        <v>116</v>
      </c>
      <c r="G3" s="29" t="s">
        <v>117</v>
      </c>
      <c r="H3" s="29" t="s">
        <v>118</v>
      </c>
      <c r="I3" s="29" t="s">
        <v>119</v>
      </c>
      <c r="J3" s="29" t="s">
        <v>120</v>
      </c>
    </row>
    <row r="4" spans="1:30" ht="50">
      <c r="A4" s="26">
        <v>1</v>
      </c>
      <c r="B4" s="27">
        <v>46297</v>
      </c>
      <c r="C4" s="28" t="s">
        <v>270</v>
      </c>
      <c r="D4" s="28" t="s">
        <v>271</v>
      </c>
      <c r="E4" s="31"/>
      <c r="F4" s="32" t="s">
        <v>272</v>
      </c>
      <c r="G4" s="32" t="s">
        <v>273</v>
      </c>
      <c r="H4" s="32" t="s">
        <v>274</v>
      </c>
      <c r="I4" s="32" t="s">
        <v>207</v>
      </c>
      <c r="J4" s="34" t="s">
        <v>279</v>
      </c>
    </row>
    <row r="5" spans="1:30" ht="37.5">
      <c r="A5" s="26">
        <v>2</v>
      </c>
      <c r="B5" s="27">
        <v>46297</v>
      </c>
      <c r="C5" s="28" t="s">
        <v>268</v>
      </c>
      <c r="D5" s="28" t="s">
        <v>269</v>
      </c>
      <c r="E5" s="31"/>
      <c r="F5" s="32" t="s">
        <v>204</v>
      </c>
      <c r="G5" s="32" t="s">
        <v>205</v>
      </c>
      <c r="H5" s="32" t="s">
        <v>206</v>
      </c>
      <c r="I5" s="32" t="s">
        <v>207</v>
      </c>
      <c r="J5" s="32" t="s">
        <v>208</v>
      </c>
    </row>
    <row r="6" spans="1:30" ht="37.5">
      <c r="A6" s="26">
        <v>3</v>
      </c>
      <c r="B6" s="27">
        <v>46297</v>
      </c>
      <c r="C6" s="28" t="s">
        <v>268</v>
      </c>
      <c r="D6" s="28" t="s">
        <v>269</v>
      </c>
      <c r="E6" s="31"/>
      <c r="F6" s="32" t="s">
        <v>209</v>
      </c>
      <c r="G6" s="32" t="s">
        <v>210</v>
      </c>
      <c r="H6" s="32" t="s">
        <v>211</v>
      </c>
      <c r="I6" s="32" t="s">
        <v>121</v>
      </c>
      <c r="J6" s="32" t="s">
        <v>212</v>
      </c>
      <c r="V6" s="23"/>
      <c r="W6" s="23"/>
      <c r="X6" s="23"/>
      <c r="Y6" s="23"/>
      <c r="Z6" s="23"/>
      <c r="AA6" s="23"/>
      <c r="AB6" s="23"/>
      <c r="AC6" s="23"/>
      <c r="AD6" s="23"/>
    </row>
    <row r="7" spans="1:30" ht="37.5">
      <c r="A7" s="26">
        <v>4</v>
      </c>
      <c r="B7" s="27">
        <v>46297</v>
      </c>
      <c r="C7" s="28" t="s">
        <v>268</v>
      </c>
      <c r="D7" s="28" t="s">
        <v>269</v>
      </c>
      <c r="E7" s="31"/>
      <c r="F7" s="32" t="s">
        <v>213</v>
      </c>
      <c r="G7" s="32" t="s">
        <v>214</v>
      </c>
      <c r="H7" s="32" t="s">
        <v>215</v>
      </c>
      <c r="I7" s="32" t="s">
        <v>207</v>
      </c>
      <c r="J7" s="32" t="s">
        <v>216</v>
      </c>
      <c r="V7" s="24"/>
      <c r="W7" s="25"/>
      <c r="X7" s="24"/>
      <c r="Y7" s="24"/>
      <c r="Z7" s="24"/>
      <c r="AA7" s="24"/>
      <c r="AB7" s="24"/>
      <c r="AC7" s="24"/>
      <c r="AD7" s="24"/>
    </row>
    <row r="8" spans="1:30" ht="37.5">
      <c r="A8" s="26">
        <v>5</v>
      </c>
      <c r="B8" s="27">
        <v>46297</v>
      </c>
      <c r="C8" s="28" t="s">
        <v>270</v>
      </c>
      <c r="D8" s="28" t="s">
        <v>271</v>
      </c>
      <c r="E8" s="31"/>
      <c r="F8" s="32" t="s">
        <v>275</v>
      </c>
      <c r="G8" s="32" t="s">
        <v>276</v>
      </c>
      <c r="H8" s="32" t="s">
        <v>277</v>
      </c>
      <c r="I8" s="32" t="s">
        <v>278</v>
      </c>
      <c r="J8" s="32" t="s">
        <v>280</v>
      </c>
      <c r="V8" s="24"/>
      <c r="W8" s="25"/>
      <c r="X8" s="24"/>
      <c r="Y8" s="24"/>
      <c r="Z8" s="24"/>
      <c r="AA8" s="24"/>
      <c r="AB8" s="24"/>
      <c r="AC8" s="24"/>
      <c r="AD8" s="24"/>
    </row>
    <row r="9" spans="1:30" ht="37.5">
      <c r="A9" s="26">
        <v>6</v>
      </c>
      <c r="B9" s="27">
        <v>46297</v>
      </c>
      <c r="C9" s="28" t="s">
        <v>268</v>
      </c>
      <c r="D9" s="28" t="s">
        <v>269</v>
      </c>
      <c r="E9" s="31"/>
      <c r="F9" s="32" t="s">
        <v>217</v>
      </c>
      <c r="G9" s="32" t="s">
        <v>218</v>
      </c>
      <c r="H9" s="32" t="s">
        <v>219</v>
      </c>
      <c r="I9" s="32" t="s">
        <v>207</v>
      </c>
      <c r="J9" s="32" t="s">
        <v>220</v>
      </c>
      <c r="V9" s="24"/>
      <c r="W9" s="25"/>
      <c r="X9" s="24"/>
      <c r="Y9" s="24"/>
      <c r="Z9" s="24"/>
      <c r="AA9" s="24"/>
      <c r="AB9" s="24"/>
      <c r="AC9" s="24"/>
      <c r="AD9" s="24"/>
    </row>
    <row r="10" spans="1:30" ht="29">
      <c r="A10" s="26">
        <v>7</v>
      </c>
      <c r="B10" s="27">
        <v>46297</v>
      </c>
      <c r="C10" s="28" t="s">
        <v>268</v>
      </c>
      <c r="D10" s="28" t="s">
        <v>269</v>
      </c>
      <c r="E10" s="31"/>
      <c r="F10" s="32" t="s">
        <v>221</v>
      </c>
      <c r="G10" s="32" t="s">
        <v>222</v>
      </c>
      <c r="H10" s="32" t="s">
        <v>223</v>
      </c>
      <c r="I10" s="32" t="s">
        <v>207</v>
      </c>
      <c r="J10" s="32" t="s">
        <v>224</v>
      </c>
      <c r="V10" s="24"/>
      <c r="W10" s="25"/>
      <c r="X10" s="24"/>
      <c r="Y10" s="24"/>
      <c r="Z10" s="24"/>
      <c r="AA10" s="24"/>
      <c r="AB10" s="24"/>
      <c r="AC10" s="24"/>
      <c r="AD10" s="24"/>
    </row>
    <row r="11" spans="1:30" ht="29">
      <c r="A11" s="26">
        <v>8</v>
      </c>
      <c r="B11" s="27">
        <v>46297</v>
      </c>
      <c r="C11" s="28" t="s">
        <v>268</v>
      </c>
      <c r="D11" s="28" t="s">
        <v>269</v>
      </c>
      <c r="E11" s="31"/>
      <c r="F11" s="32" t="s">
        <v>225</v>
      </c>
      <c r="G11" s="32" t="s">
        <v>226</v>
      </c>
      <c r="H11" s="32" t="s">
        <v>227</v>
      </c>
      <c r="I11" s="32" t="s">
        <v>207</v>
      </c>
      <c r="J11" s="32" t="s">
        <v>228</v>
      </c>
      <c r="V11" s="24"/>
      <c r="W11" s="25"/>
      <c r="X11" s="24"/>
      <c r="Y11" s="24"/>
      <c r="Z11" s="24"/>
      <c r="AA11" s="24"/>
      <c r="AB11" s="24"/>
      <c r="AC11" s="24"/>
      <c r="AD11" s="24"/>
    </row>
    <row r="12" spans="1:30" ht="29">
      <c r="A12" s="26">
        <v>9</v>
      </c>
      <c r="B12" s="27">
        <v>46297</v>
      </c>
      <c r="C12" s="28" t="s">
        <v>268</v>
      </c>
      <c r="D12" s="28" t="s">
        <v>269</v>
      </c>
      <c r="E12" s="31"/>
      <c r="F12" s="32" t="s">
        <v>229</v>
      </c>
      <c r="G12" s="32" t="s">
        <v>230</v>
      </c>
      <c r="H12" s="32" t="s">
        <v>231</v>
      </c>
      <c r="I12" s="32" t="s">
        <v>207</v>
      </c>
      <c r="J12" s="32" t="s">
        <v>232</v>
      </c>
      <c r="V12" s="24"/>
      <c r="W12" s="25"/>
      <c r="X12" s="24"/>
      <c r="Y12" s="24"/>
      <c r="Z12" s="24"/>
      <c r="AA12" s="24"/>
      <c r="AB12" s="24"/>
      <c r="AC12" s="24"/>
      <c r="AD12" s="24"/>
    </row>
    <row r="13" spans="1:30" ht="29">
      <c r="A13" s="26">
        <v>10</v>
      </c>
      <c r="B13" s="27">
        <v>46297</v>
      </c>
      <c r="C13" s="28" t="s">
        <v>268</v>
      </c>
      <c r="D13" s="28" t="s">
        <v>269</v>
      </c>
      <c r="E13" s="31"/>
      <c r="F13" s="32" t="s">
        <v>233</v>
      </c>
      <c r="G13" s="32" t="s">
        <v>234</v>
      </c>
      <c r="H13" s="32" t="s">
        <v>235</v>
      </c>
      <c r="I13" s="32" t="s">
        <v>207</v>
      </c>
      <c r="J13" s="32" t="s">
        <v>236</v>
      </c>
      <c r="V13" s="24"/>
      <c r="W13" s="25"/>
      <c r="X13" s="24"/>
      <c r="Y13" s="24"/>
      <c r="Z13" s="24"/>
      <c r="AA13" s="24"/>
      <c r="AB13" s="24"/>
      <c r="AC13" s="24"/>
      <c r="AD13" s="24"/>
    </row>
    <row r="14" spans="1:30" ht="43.5">
      <c r="A14" s="26">
        <v>11</v>
      </c>
      <c r="B14" s="27">
        <v>46297</v>
      </c>
      <c r="C14" s="28" t="s">
        <v>202</v>
      </c>
      <c r="D14" s="28" t="s">
        <v>203</v>
      </c>
      <c r="E14" s="31"/>
      <c r="F14" s="32" t="s">
        <v>237</v>
      </c>
      <c r="G14" s="32" t="s">
        <v>238</v>
      </c>
      <c r="H14" s="32" t="s">
        <v>239</v>
      </c>
      <c r="I14" s="32" t="s">
        <v>207</v>
      </c>
      <c r="J14" s="32" t="s">
        <v>240</v>
      </c>
      <c r="V14" s="24"/>
      <c r="W14" s="25"/>
      <c r="X14" s="24"/>
      <c r="Y14" s="24"/>
      <c r="Z14" s="24"/>
      <c r="AA14" s="24"/>
      <c r="AB14" s="24"/>
      <c r="AC14" s="24"/>
      <c r="AD14" s="24"/>
    </row>
    <row r="15" spans="1:30" ht="43.5">
      <c r="A15" s="26">
        <v>12</v>
      </c>
      <c r="B15" s="27">
        <v>46297</v>
      </c>
      <c r="C15" s="28" t="s">
        <v>202</v>
      </c>
      <c r="D15" s="28" t="s">
        <v>203</v>
      </c>
      <c r="E15" s="31"/>
      <c r="F15" s="32" t="s">
        <v>241</v>
      </c>
      <c r="G15" s="32" t="s">
        <v>242</v>
      </c>
      <c r="H15" s="32" t="s">
        <v>243</v>
      </c>
      <c r="I15" s="32" t="s">
        <v>207</v>
      </c>
      <c r="J15" s="32" t="s">
        <v>240</v>
      </c>
      <c r="V15" s="24"/>
      <c r="W15" s="25"/>
      <c r="X15" s="24"/>
      <c r="Y15" s="24"/>
      <c r="Z15" s="24"/>
      <c r="AA15" s="24"/>
      <c r="AB15" s="24"/>
      <c r="AC15" s="24"/>
      <c r="AD15" s="24"/>
    </row>
    <row r="16" spans="1:30" ht="43.5">
      <c r="A16" s="26">
        <v>13</v>
      </c>
      <c r="B16" s="27">
        <v>46297</v>
      </c>
      <c r="C16" s="28" t="s">
        <v>202</v>
      </c>
      <c r="D16" s="28" t="s">
        <v>203</v>
      </c>
      <c r="E16" s="31"/>
      <c r="F16" s="32" t="s">
        <v>244</v>
      </c>
      <c r="G16" s="32" t="s">
        <v>245</v>
      </c>
      <c r="H16" s="32" t="s">
        <v>246</v>
      </c>
      <c r="I16" s="32" t="s">
        <v>207</v>
      </c>
      <c r="J16" s="32" t="s">
        <v>247</v>
      </c>
      <c r="V16" s="24"/>
      <c r="W16" s="25"/>
      <c r="X16" s="24"/>
      <c r="Y16" s="24"/>
      <c r="Z16" s="24"/>
      <c r="AA16" s="24"/>
      <c r="AB16" s="24"/>
      <c r="AC16" s="24"/>
      <c r="AD16" s="24"/>
    </row>
    <row r="17" spans="1:30" ht="37.5">
      <c r="A17" s="26">
        <v>14</v>
      </c>
      <c r="B17" s="27">
        <v>46297</v>
      </c>
      <c r="C17" s="28" t="s">
        <v>268</v>
      </c>
      <c r="D17" s="28" t="s">
        <v>269</v>
      </c>
      <c r="E17" s="31"/>
      <c r="F17" s="32" t="s">
        <v>248</v>
      </c>
      <c r="G17" s="32" t="s">
        <v>249</v>
      </c>
      <c r="H17" s="32" t="s">
        <v>250</v>
      </c>
      <c r="I17" s="32" t="s">
        <v>207</v>
      </c>
      <c r="J17" s="32" t="s">
        <v>281</v>
      </c>
      <c r="V17" s="24"/>
      <c r="W17" s="25"/>
      <c r="X17" s="24"/>
      <c r="Y17" s="24"/>
      <c r="Z17" s="24"/>
      <c r="AA17" s="24"/>
      <c r="AB17" s="24"/>
      <c r="AC17" s="24"/>
      <c r="AD17" s="24"/>
    </row>
    <row r="18" spans="1:30" ht="37.5">
      <c r="A18" s="26">
        <v>15</v>
      </c>
      <c r="B18" s="27">
        <v>46297</v>
      </c>
      <c r="C18" s="28" t="s">
        <v>268</v>
      </c>
      <c r="D18" s="28" t="s">
        <v>269</v>
      </c>
      <c r="E18" s="31"/>
      <c r="F18" s="32" t="s">
        <v>252</v>
      </c>
      <c r="G18" s="32" t="s">
        <v>253</v>
      </c>
      <c r="H18" s="32" t="s">
        <v>254</v>
      </c>
      <c r="I18" s="32" t="s">
        <v>207</v>
      </c>
      <c r="J18" s="32" t="s">
        <v>282</v>
      </c>
      <c r="V18" s="24"/>
      <c r="W18" s="25"/>
      <c r="X18" s="24"/>
      <c r="Y18" s="24"/>
      <c r="Z18" s="24"/>
      <c r="AA18" s="24"/>
      <c r="AB18" s="24"/>
      <c r="AC18" s="24"/>
      <c r="AD18" s="24"/>
    </row>
    <row r="19" spans="1:30" ht="37.5">
      <c r="A19" s="26">
        <v>16</v>
      </c>
      <c r="B19" s="27">
        <v>46297</v>
      </c>
      <c r="C19" s="28" t="s">
        <v>268</v>
      </c>
      <c r="D19" s="28" t="s">
        <v>269</v>
      </c>
      <c r="E19" s="31"/>
      <c r="F19" s="32" t="s">
        <v>256</v>
      </c>
      <c r="G19" s="32" t="s">
        <v>257</v>
      </c>
      <c r="H19" s="32" t="s">
        <v>258</v>
      </c>
      <c r="I19" s="32" t="s">
        <v>207</v>
      </c>
      <c r="J19" s="32" t="s">
        <v>283</v>
      </c>
      <c r="V19" s="24"/>
      <c r="W19" s="25"/>
      <c r="X19" s="24"/>
      <c r="Y19" s="24"/>
      <c r="Z19" s="24"/>
      <c r="AA19" s="24"/>
      <c r="AB19" s="24"/>
      <c r="AC19" s="24"/>
      <c r="AD19" s="24"/>
    </row>
    <row r="20" spans="1:30" ht="29">
      <c r="A20" s="26">
        <v>17</v>
      </c>
      <c r="B20" s="27">
        <v>46297</v>
      </c>
      <c r="C20" s="28" t="s">
        <v>268</v>
      </c>
      <c r="D20" s="28" t="s">
        <v>269</v>
      </c>
      <c r="E20" s="31"/>
      <c r="F20" s="32" t="s">
        <v>259</v>
      </c>
      <c r="G20" s="32" t="s">
        <v>260</v>
      </c>
      <c r="H20" s="32" t="s">
        <v>261</v>
      </c>
      <c r="I20" s="32" t="s">
        <v>207</v>
      </c>
      <c r="J20" s="32" t="s">
        <v>251</v>
      </c>
      <c r="V20" s="24"/>
      <c r="W20" s="25"/>
      <c r="X20" s="24"/>
      <c r="Y20" s="24"/>
      <c r="Z20" s="24"/>
      <c r="AA20" s="24"/>
      <c r="AB20" s="24"/>
      <c r="AC20" s="24"/>
      <c r="AD20" s="24"/>
    </row>
    <row r="21" spans="1:30" ht="43.5">
      <c r="A21" s="26">
        <v>18</v>
      </c>
      <c r="B21" s="27">
        <v>46297</v>
      </c>
      <c r="C21" s="28" t="s">
        <v>202</v>
      </c>
      <c r="D21" s="28" t="s">
        <v>203</v>
      </c>
      <c r="E21" s="31"/>
      <c r="F21" s="32" t="s">
        <v>262</v>
      </c>
      <c r="G21" s="32" t="s">
        <v>263</v>
      </c>
      <c r="H21" s="32" t="s">
        <v>264</v>
      </c>
      <c r="I21" s="32" t="s">
        <v>207</v>
      </c>
      <c r="J21" s="32" t="s">
        <v>240</v>
      </c>
      <c r="V21" s="24"/>
      <c r="W21" s="25"/>
      <c r="X21" s="24"/>
      <c r="Y21" s="24"/>
      <c r="Z21" s="24"/>
      <c r="AA21" s="24"/>
      <c r="AB21" s="24"/>
      <c r="AC21" s="24"/>
      <c r="AD21" s="24"/>
    </row>
    <row r="22" spans="1:30" ht="50">
      <c r="A22" s="26">
        <v>19</v>
      </c>
      <c r="B22" s="27">
        <v>46297</v>
      </c>
      <c r="C22" s="28" t="s">
        <v>268</v>
      </c>
      <c r="D22" s="28" t="s">
        <v>269</v>
      </c>
      <c r="E22" s="31"/>
      <c r="F22" s="32" t="s">
        <v>265</v>
      </c>
      <c r="G22" s="32" t="s">
        <v>266</v>
      </c>
      <c r="H22" s="32" t="s">
        <v>267</v>
      </c>
      <c r="I22" s="32" t="s">
        <v>207</v>
      </c>
      <c r="J22" s="33" t="s">
        <v>255</v>
      </c>
      <c r="V22" s="24"/>
      <c r="W22" s="25"/>
      <c r="X22" s="24"/>
      <c r="Y22" s="24"/>
      <c r="Z22" s="24"/>
      <c r="AA22" s="24"/>
      <c r="AB22" s="24"/>
      <c r="AC22" s="24"/>
      <c r="AD22" s="24"/>
    </row>
    <row r="23" spans="1:30" ht="14.5">
      <c r="A23" s="26">
        <v>20</v>
      </c>
      <c r="B23" s="11"/>
      <c r="C23" s="12"/>
      <c r="D23" s="12"/>
      <c r="E23" s="12"/>
      <c r="F23" s="30"/>
      <c r="G23" s="30"/>
      <c r="H23" s="30"/>
      <c r="I23" s="30"/>
      <c r="J23" s="30"/>
      <c r="V23" s="24"/>
      <c r="W23" s="25"/>
      <c r="X23" s="24"/>
      <c r="Y23" s="24"/>
      <c r="Z23" s="24"/>
      <c r="AA23" s="24"/>
      <c r="AB23" s="24"/>
      <c r="AC23" s="24"/>
      <c r="AD23" s="24"/>
    </row>
    <row r="24" spans="1:30" ht="14.5">
      <c r="A24" s="26">
        <v>21</v>
      </c>
      <c r="B24" s="11"/>
      <c r="C24" s="12"/>
      <c r="D24" s="12"/>
      <c r="E24" s="12"/>
      <c r="F24" s="12"/>
      <c r="G24" s="12"/>
      <c r="H24" s="12"/>
      <c r="I24" s="12"/>
      <c r="J24" s="12"/>
      <c r="V24" s="24"/>
      <c r="W24" s="25"/>
      <c r="X24" s="24"/>
      <c r="Y24" s="24"/>
      <c r="Z24" s="24"/>
      <c r="AA24" s="24"/>
      <c r="AB24" s="24"/>
      <c r="AC24" s="24"/>
    </row>
    <row r="25" spans="1:30" ht="14.5">
      <c r="A25" s="26">
        <v>22</v>
      </c>
      <c r="B25" s="11"/>
      <c r="C25" s="12"/>
      <c r="D25" s="12"/>
      <c r="E25" s="12"/>
      <c r="F25" s="12"/>
      <c r="G25" s="12"/>
      <c r="H25" s="12"/>
      <c r="I25" s="12"/>
      <c r="J25" s="12"/>
    </row>
    <row r="26" spans="1:30" ht="14.5">
      <c r="A26" s="26">
        <v>23</v>
      </c>
      <c r="B26" s="11"/>
      <c r="C26" s="12"/>
      <c r="D26" s="12"/>
      <c r="E26" s="12"/>
      <c r="F26" s="12"/>
      <c r="G26" s="12"/>
      <c r="H26" s="12"/>
      <c r="I26" s="12"/>
      <c r="J26" s="12"/>
    </row>
    <row r="27" spans="1:30" ht="14.5">
      <c r="A27" s="26">
        <v>24</v>
      </c>
      <c r="B27" s="11"/>
      <c r="C27" s="12"/>
      <c r="D27" s="12"/>
      <c r="E27" s="12"/>
      <c r="F27" s="12"/>
      <c r="G27" s="12"/>
      <c r="H27" s="12"/>
      <c r="I27" s="12"/>
      <c r="J27" s="12"/>
    </row>
    <row r="28" spans="1:30" ht="14.5">
      <c r="A28" s="26">
        <v>25</v>
      </c>
      <c r="B28" s="11"/>
      <c r="C28" s="12"/>
      <c r="D28" s="12"/>
      <c r="E28" s="12"/>
      <c r="F28" s="12"/>
      <c r="G28" s="12"/>
      <c r="H28" s="12"/>
      <c r="I28" s="12"/>
      <c r="J28" s="12"/>
    </row>
    <row r="29" spans="1:30" ht="14.5">
      <c r="A29" s="26">
        <v>26</v>
      </c>
      <c r="B29" s="11"/>
      <c r="C29" s="12"/>
      <c r="D29" s="12"/>
      <c r="E29" s="12"/>
      <c r="F29" s="12"/>
      <c r="G29" s="12"/>
      <c r="H29" s="12"/>
      <c r="I29" s="12"/>
      <c r="J29" s="12"/>
    </row>
    <row r="30" spans="1:30" ht="14.5">
      <c r="A30" s="26">
        <v>27</v>
      </c>
      <c r="B30" s="11"/>
      <c r="C30" s="12"/>
      <c r="D30" s="12"/>
      <c r="E30" s="12"/>
      <c r="F30" s="12"/>
      <c r="G30" s="12"/>
      <c r="H30" s="12"/>
      <c r="I30" s="12"/>
      <c r="J30" s="12"/>
    </row>
    <row r="31" spans="1:30" ht="14.5">
      <c r="A31" s="26">
        <v>28</v>
      </c>
      <c r="B31" s="11"/>
      <c r="C31" s="12"/>
      <c r="D31" s="12"/>
      <c r="E31" s="12"/>
      <c r="F31" s="12"/>
      <c r="G31" s="12"/>
      <c r="H31" s="12"/>
      <c r="I31" s="12"/>
      <c r="J31" s="12"/>
    </row>
  </sheetData>
  <dataValidations disablePrompts="1" count="1">
    <dataValidation type="list" allowBlank="1" sqref="I23:I31" xr:uid="{00000000-0002-0000-0300-000000000000}">
      <formula1>"Kept,Rejected,Partly kept"</formula1>
      <formula2>0</formula2>
    </dataValidation>
  </dataValidations>
  <hyperlinks>
    <hyperlink ref="J4" r:id="rId1" xr:uid="{FEA34142-B87F-4F6E-8F78-7FB5D8671902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2597-C4FF-4E2E-892A-A548CA99818B}">
  <dimension ref="A1:G15"/>
  <sheetViews>
    <sheetView zoomScale="70" workbookViewId="0">
      <selection activeCell="E28" sqref="E28"/>
    </sheetView>
  </sheetViews>
  <sheetFormatPr defaultRowHeight="12.5"/>
  <cols>
    <col min="1" max="1" width="31.81640625" customWidth="1"/>
    <col min="2" max="2" width="24.08984375" bestFit="1" customWidth="1"/>
    <col min="3" max="3" width="20" customWidth="1"/>
    <col min="4" max="4" width="25.1796875" bestFit="1" customWidth="1"/>
    <col min="5" max="5" width="23.90625" customWidth="1"/>
    <col min="6" max="6" width="28.36328125" bestFit="1" customWidth="1"/>
    <col min="7" max="7" width="17.6328125" customWidth="1"/>
  </cols>
  <sheetData>
    <row r="1" spans="1:7" ht="13">
      <c r="A1" s="13" t="s">
        <v>122</v>
      </c>
      <c r="B1" t="s">
        <v>123</v>
      </c>
      <c r="C1" t="s">
        <v>124</v>
      </c>
      <c r="D1" t="s">
        <v>125</v>
      </c>
      <c r="E1" s="13" t="s">
        <v>128</v>
      </c>
      <c r="F1" t="s">
        <v>126</v>
      </c>
      <c r="G1" t="s">
        <v>127</v>
      </c>
    </row>
    <row r="2" spans="1:7">
      <c r="A2" s="15" t="s">
        <v>129</v>
      </c>
      <c r="B2" s="16" t="s">
        <v>64</v>
      </c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</row>
    <row r="3" spans="1:7" ht="25">
      <c r="A3" s="15" t="s">
        <v>130</v>
      </c>
      <c r="B3" s="16" t="s">
        <v>65</v>
      </c>
      <c r="C3" s="15" t="s">
        <v>143</v>
      </c>
      <c r="D3" s="15" t="s">
        <v>144</v>
      </c>
      <c r="E3" s="15" t="s">
        <v>148</v>
      </c>
      <c r="F3" s="15" t="s">
        <v>146</v>
      </c>
      <c r="G3" s="15" t="s">
        <v>147</v>
      </c>
    </row>
    <row r="4" spans="1:7">
      <c r="A4" s="15" t="s">
        <v>131</v>
      </c>
      <c r="B4" s="15" t="s">
        <v>141</v>
      </c>
      <c r="C4" s="15" t="s">
        <v>143</v>
      </c>
      <c r="D4" s="15" t="s">
        <v>144</v>
      </c>
      <c r="E4" s="15" t="s">
        <v>149</v>
      </c>
      <c r="F4" s="15" t="s">
        <v>141</v>
      </c>
      <c r="G4" s="15" t="s">
        <v>147</v>
      </c>
    </row>
    <row r="5" spans="1:7">
      <c r="A5" s="15" t="s">
        <v>132</v>
      </c>
      <c r="B5" s="16" t="s">
        <v>66</v>
      </c>
      <c r="C5" s="15" t="s">
        <v>150</v>
      </c>
      <c r="D5" s="15" t="s">
        <v>151</v>
      </c>
      <c r="E5" s="15" t="s">
        <v>152</v>
      </c>
      <c r="F5" s="15" t="s">
        <v>153</v>
      </c>
      <c r="G5" s="15" t="s">
        <v>147</v>
      </c>
    </row>
    <row r="6" spans="1:7">
      <c r="A6" s="15" t="s">
        <v>133</v>
      </c>
      <c r="B6" s="16" t="s">
        <v>67</v>
      </c>
      <c r="C6" s="15" t="s">
        <v>154</v>
      </c>
      <c r="D6" s="15" t="s">
        <v>155</v>
      </c>
      <c r="E6" s="15" t="s">
        <v>156</v>
      </c>
      <c r="F6" s="15" t="s">
        <v>146</v>
      </c>
      <c r="G6" s="15" t="s">
        <v>147</v>
      </c>
    </row>
    <row r="7" spans="1:7">
      <c r="A7" s="15" t="s">
        <v>134</v>
      </c>
      <c r="B7" s="16" t="s">
        <v>68</v>
      </c>
      <c r="C7" s="15" t="s">
        <v>150</v>
      </c>
      <c r="D7" s="15" t="s">
        <v>157</v>
      </c>
      <c r="E7" s="15" t="s">
        <v>158</v>
      </c>
      <c r="F7" s="15" t="s">
        <v>153</v>
      </c>
      <c r="G7" s="15" t="s">
        <v>147</v>
      </c>
    </row>
    <row r="8" spans="1:7">
      <c r="A8" s="15" t="s">
        <v>135</v>
      </c>
      <c r="B8" s="16" t="s">
        <v>69</v>
      </c>
      <c r="C8" s="15" t="s">
        <v>159</v>
      </c>
      <c r="D8" s="15" t="s">
        <v>157</v>
      </c>
      <c r="E8" s="15" t="s">
        <v>160</v>
      </c>
      <c r="F8" s="15" t="s">
        <v>146</v>
      </c>
      <c r="G8" s="15" t="s">
        <v>147</v>
      </c>
    </row>
    <row r="9" spans="1:7">
      <c r="A9" s="15" t="s">
        <v>136</v>
      </c>
      <c r="B9" s="16" t="s">
        <v>70</v>
      </c>
      <c r="C9" s="15" t="s">
        <v>161</v>
      </c>
      <c r="D9" s="15" t="s">
        <v>162</v>
      </c>
      <c r="E9" s="15" t="s">
        <v>163</v>
      </c>
      <c r="F9" s="15" t="s">
        <v>164</v>
      </c>
      <c r="G9" s="15" t="s">
        <v>147</v>
      </c>
    </row>
    <row r="10" spans="1:7" ht="25">
      <c r="A10" s="15" t="s">
        <v>137</v>
      </c>
      <c r="B10" s="16" t="s">
        <v>71</v>
      </c>
      <c r="C10" s="15" t="s">
        <v>165</v>
      </c>
      <c r="D10" s="15" t="s">
        <v>162</v>
      </c>
      <c r="E10" s="15" t="s">
        <v>166</v>
      </c>
      <c r="F10" s="15" t="s">
        <v>167</v>
      </c>
      <c r="G10" s="15" t="s">
        <v>147</v>
      </c>
    </row>
    <row r="11" spans="1:7" ht="25">
      <c r="A11" s="15" t="s">
        <v>138</v>
      </c>
      <c r="B11" s="16" t="s">
        <v>72</v>
      </c>
      <c r="C11" s="15" t="s">
        <v>168</v>
      </c>
      <c r="D11" s="15" t="s">
        <v>169</v>
      </c>
      <c r="E11" s="15" t="s">
        <v>170</v>
      </c>
      <c r="F11" s="15" t="s">
        <v>171</v>
      </c>
      <c r="G11" s="15" t="s">
        <v>147</v>
      </c>
    </row>
    <row r="12" spans="1:7">
      <c r="A12" s="15" t="s">
        <v>139</v>
      </c>
      <c r="B12" s="16" t="s">
        <v>73</v>
      </c>
      <c r="C12" s="15" t="s">
        <v>150</v>
      </c>
      <c r="D12" s="15" t="s">
        <v>172</v>
      </c>
      <c r="E12" s="15" t="s">
        <v>173</v>
      </c>
      <c r="F12" s="15" t="s">
        <v>153</v>
      </c>
      <c r="G12" s="15" t="s">
        <v>147</v>
      </c>
    </row>
    <row r="13" spans="1:7">
      <c r="A13" s="15" t="s">
        <v>140</v>
      </c>
      <c r="B13" s="16" t="s">
        <v>74</v>
      </c>
      <c r="C13" s="15" t="s">
        <v>174</v>
      </c>
      <c r="D13" s="15" t="s">
        <v>175</v>
      </c>
      <c r="E13" s="15" t="s">
        <v>176</v>
      </c>
      <c r="F13" s="15" t="s">
        <v>177</v>
      </c>
      <c r="G13" s="15" t="s">
        <v>147</v>
      </c>
    </row>
    <row r="15" spans="1:7">
      <c r="A15" s="14" t="s">
        <v>142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6488-74FB-4EBB-98EA-487BA3045B1B}">
  <dimension ref="A1:K23"/>
  <sheetViews>
    <sheetView tabSelected="1" zoomScale="64" workbookViewId="0">
      <selection activeCell="E29" sqref="E29"/>
    </sheetView>
  </sheetViews>
  <sheetFormatPr defaultRowHeight="14"/>
  <cols>
    <col min="1" max="1" width="34.7265625" style="17" bestFit="1" customWidth="1"/>
    <col min="2" max="2" width="25.26953125" style="17" customWidth="1"/>
    <col min="3" max="3" width="23.54296875" style="17" customWidth="1"/>
    <col min="4" max="4" width="28.7265625" style="17" customWidth="1"/>
    <col min="5" max="5" width="31.08984375" style="17" customWidth="1"/>
    <col min="6" max="6" width="34.6328125" style="17" customWidth="1"/>
    <col min="7" max="7" width="15.81640625" style="17" customWidth="1"/>
    <col min="8" max="8" width="15.36328125" style="17" customWidth="1"/>
    <col min="9" max="9" width="31" style="17" customWidth="1"/>
    <col min="10" max="10" width="39" style="17" customWidth="1"/>
    <col min="11" max="11" width="23.453125" style="17" customWidth="1"/>
    <col min="12" max="16384" width="8.7265625" style="17"/>
  </cols>
  <sheetData>
    <row r="1" spans="1:11" ht="17.5">
      <c r="A1" s="22" t="s">
        <v>178</v>
      </c>
    </row>
    <row r="3" spans="1:11">
      <c r="A3" s="17" t="s">
        <v>179</v>
      </c>
      <c r="B3" s="17" t="s">
        <v>180</v>
      </c>
      <c r="C3" s="17" t="s">
        <v>181</v>
      </c>
      <c r="D3" s="17" t="s">
        <v>182</v>
      </c>
      <c r="E3" s="17" t="s">
        <v>183</v>
      </c>
      <c r="F3" s="17" t="s">
        <v>184</v>
      </c>
      <c r="G3" s="17" t="s">
        <v>185</v>
      </c>
      <c r="H3" s="17" t="s">
        <v>186</v>
      </c>
      <c r="I3" s="17" t="s">
        <v>187</v>
      </c>
      <c r="J3" s="17" t="s">
        <v>188</v>
      </c>
      <c r="K3" s="17" t="s">
        <v>189</v>
      </c>
    </row>
    <row r="4" spans="1:11">
      <c r="A4" s="17" t="s">
        <v>75</v>
      </c>
      <c r="B4" s="17">
        <f>SUMIFS('Plant ESG Quarterly'!$C:$C,'Plant ESG Quarterly'!$A:$A,$A4)+SUMIFS('Plant ESG Quarterly'!$D:$D,'Plant ESG Quarterly'!$A:$A,$A4)</f>
        <v>38318</v>
      </c>
      <c r="C4" s="18">
        <f>AVERAGEIFS('Plant ESG Quarterly'!$E:$E,'Plant ESG Quarterly'!$A:$A,$A4)</f>
        <v>0.23</v>
      </c>
      <c r="D4" s="17">
        <f>SUMIFS('Plant ESG Quarterly'!$F:$F,'Plant ESG Quarterly'!$A:$A,$A4)</f>
        <v>436335</v>
      </c>
      <c r="E4" s="18">
        <f>AVERAGEIFS('Plant ESG Quarterly'!$G:$G,'Plant ESG Quarterly'!$A:$A,$A4)</f>
        <v>0.65500000000000003</v>
      </c>
      <c r="F4" s="17">
        <f>SUMIFS('Plant ESG Quarterly'!$H:$H,'Plant ESG Quarterly'!$A:$A,$A4)</f>
        <v>796.49999999999989</v>
      </c>
      <c r="G4" s="17">
        <f>SUMIFS('Plant ESG Quarterly'!$I:$I,'Plant ESG Quarterly'!$A:$A,$A4)</f>
        <v>9</v>
      </c>
      <c r="H4" s="19">
        <f>AVERAGEIFS('Plant ESG Quarterly'!$J:$J,'Plant ESG Quarterly'!$A:$A,$A4)</f>
        <v>1.5825</v>
      </c>
      <c r="I4" s="17">
        <f>AVERAGEIFS('Plant ESG Quarterly'!$K:$K,'Plant ESG Quarterly'!$A:$A,$A4)</f>
        <v>13.875</v>
      </c>
      <c r="J4" s="18">
        <f>AVERAGEIFS('Plant ESG Quarterly'!$L:$L,'Plant ESG Quarterly'!$A:$A,$A4)</f>
        <v>0.19875000000000001</v>
      </c>
      <c r="K4" s="17">
        <f>AVERAGEIFS('Plant ESG Quarterly'!$M:$M,'Plant ESG Quarterly'!$A:$A,$A4)</f>
        <v>1176.875</v>
      </c>
    </row>
    <row r="5" spans="1:11">
      <c r="A5" s="17" t="s">
        <v>84</v>
      </c>
      <c r="B5" s="17">
        <f>SUMIFS('Plant ESG Quarterly'!$C:$C,'Plant ESG Quarterly'!$A:$A,$A5)+SUMIFS('Plant ESG Quarterly'!$D:$D,'Plant ESG Quarterly'!$A:$A,$A5)</f>
        <v>32314</v>
      </c>
      <c r="C5" s="18">
        <f>AVERAGEIFS('Plant ESG Quarterly'!$E:$E,'Plant ESG Quarterly'!$A:$A,$A5)</f>
        <v>0.24375000000000002</v>
      </c>
      <c r="D5" s="17">
        <f>SUMIFS('Plant ESG Quarterly'!$F:$F,'Plant ESG Quarterly'!$A:$A,$A5)</f>
        <v>367017</v>
      </c>
      <c r="E5" s="18">
        <f>AVERAGEIFS('Plant ESG Quarterly'!$G:$G,'Plant ESG Quarterly'!$A:$A,$A5)</f>
        <v>0.63125000000000009</v>
      </c>
      <c r="F5" s="17">
        <f>SUMIFS('Plant ESG Quarterly'!$H:$H,'Plant ESG Quarterly'!$A:$A,$A5)</f>
        <v>665.8</v>
      </c>
      <c r="G5" s="17">
        <f>SUMIFS('Plant ESG Quarterly'!$I:$I,'Plant ESG Quarterly'!$A:$A,$A5)</f>
        <v>10</v>
      </c>
      <c r="H5" s="19">
        <f>AVERAGEIFS('Plant ESG Quarterly'!$J:$J,'Plant ESG Quarterly'!$A:$A,$A5)</f>
        <v>1.8837500000000003</v>
      </c>
      <c r="I5" s="17">
        <f>AVERAGEIFS('Plant ESG Quarterly'!$K:$K,'Plant ESG Quarterly'!$A:$A,$A5)</f>
        <v>16</v>
      </c>
      <c r="J5" s="18">
        <f>AVERAGEIFS('Plant ESG Quarterly'!$L:$L,'Plant ESG Quarterly'!$A:$A,$A5)</f>
        <v>0.21375</v>
      </c>
      <c r="K5" s="17">
        <f>AVERAGEIFS('Plant ESG Quarterly'!$M:$M,'Plant ESG Quarterly'!$A:$A,$A5)</f>
        <v>1190.125</v>
      </c>
    </row>
    <row r="6" spans="1:11">
      <c r="A6" s="17" t="s">
        <v>85</v>
      </c>
      <c r="B6" s="17">
        <f>SUMIFS('Plant ESG Quarterly'!$C:$C,'Plant ESG Quarterly'!$A:$A,$A6)+SUMIFS('Plant ESG Quarterly'!$D:$D,'Plant ESG Quarterly'!$A:$A,$A6)</f>
        <v>35702</v>
      </c>
      <c r="C6" s="18">
        <f>AVERAGEIFS('Plant ESG Quarterly'!$E:$E,'Plant ESG Quarterly'!$A:$A,$A6)</f>
        <v>0.22875000000000001</v>
      </c>
      <c r="D6" s="17">
        <f>SUMIFS('Plant ESG Quarterly'!$F:$F,'Plant ESG Quarterly'!$A:$A,$A6)</f>
        <v>407847</v>
      </c>
      <c r="E6" s="18">
        <f>AVERAGEIFS('Plant ESG Quarterly'!$G:$G,'Plant ESG Quarterly'!$A:$A,$A6)</f>
        <v>0.63500000000000001</v>
      </c>
      <c r="F6" s="17">
        <f>SUMIFS('Plant ESG Quarterly'!$H:$H,'Plant ESG Quarterly'!$A:$A,$A6)</f>
        <v>767.50000000000011</v>
      </c>
      <c r="G6" s="17">
        <f>SUMIFS('Plant ESG Quarterly'!$I:$I,'Plant ESG Quarterly'!$A:$A,$A6)</f>
        <v>11</v>
      </c>
      <c r="H6" s="19">
        <f>AVERAGEIFS('Plant ESG Quarterly'!$J:$J,'Plant ESG Quarterly'!$A:$A,$A6)</f>
        <v>1.7562499999999996</v>
      </c>
      <c r="I6" s="17">
        <f>AVERAGEIFS('Plant ESG Quarterly'!$K:$K,'Plant ESG Quarterly'!$A:$A,$A6)</f>
        <v>16.75</v>
      </c>
      <c r="J6" s="18">
        <f>AVERAGEIFS('Plant ESG Quarterly'!$L:$L,'Plant ESG Quarterly'!$A:$A,$A6)</f>
        <v>0.21875</v>
      </c>
      <c r="K6" s="17">
        <f>AVERAGEIFS('Plant ESG Quarterly'!$M:$M,'Plant ESG Quarterly'!$A:$A,$A6)</f>
        <v>1203.125</v>
      </c>
    </row>
    <row r="7" spans="1:11">
      <c r="A7" s="17" t="s">
        <v>86</v>
      </c>
      <c r="B7" s="17">
        <f>SUMIFS('Plant ESG Quarterly'!$C:$C,'Plant ESG Quarterly'!$A:$A,$A7)+SUMIFS('Plant ESG Quarterly'!$D:$D,'Plant ESG Quarterly'!$A:$A,$A7)</f>
        <v>41860</v>
      </c>
      <c r="C7" s="18">
        <f>AVERAGEIFS('Plant ESG Quarterly'!$E:$E,'Plant ESG Quarterly'!$A:$A,$A7)</f>
        <v>0.215</v>
      </c>
      <c r="D7" s="17">
        <f>SUMIFS('Plant ESG Quarterly'!$F:$F,'Plant ESG Quarterly'!$A:$A,$A7)</f>
        <v>469883</v>
      </c>
      <c r="E7" s="18">
        <f>AVERAGEIFS('Plant ESG Quarterly'!$G:$G,'Plant ESG Quarterly'!$A:$A,$A7)</f>
        <v>0.66124999999999989</v>
      </c>
      <c r="F7" s="17">
        <f>SUMIFS('Plant ESG Quarterly'!$H:$H,'Plant ESG Quarterly'!$A:$A,$A7)</f>
        <v>811.1</v>
      </c>
      <c r="G7" s="17">
        <f>SUMIFS('Plant ESG Quarterly'!$I:$I,'Plant ESG Quarterly'!$A:$A,$A7)</f>
        <v>5</v>
      </c>
      <c r="H7" s="19">
        <f>AVERAGEIFS('Plant ESG Quarterly'!$J:$J,'Plant ESG Quarterly'!$A:$A,$A7)</f>
        <v>1.88</v>
      </c>
      <c r="I7" s="17">
        <f>AVERAGEIFS('Plant ESG Quarterly'!$K:$K,'Plant ESG Quarterly'!$A:$A,$A7)</f>
        <v>16</v>
      </c>
      <c r="J7" s="18">
        <f>AVERAGEIFS('Plant ESG Quarterly'!$L:$L,'Plant ESG Quarterly'!$A:$A,$A7)</f>
        <v>0.215</v>
      </c>
      <c r="K7" s="17">
        <f>AVERAGEIFS('Plant ESG Quarterly'!$M:$M,'Plant ESG Quarterly'!$A:$A,$A7)</f>
        <v>1186.5</v>
      </c>
    </row>
    <row r="8" spans="1:11">
      <c r="A8" s="17" t="s">
        <v>87</v>
      </c>
      <c r="B8" s="17">
        <f>SUMIFS('Plant ESG Quarterly'!$C:$C,'Plant ESG Quarterly'!$A:$A,$A8)+SUMIFS('Plant ESG Quarterly'!$D:$D,'Plant ESG Quarterly'!$A:$A,$A8)</f>
        <v>38740</v>
      </c>
      <c r="C8" s="18">
        <f>AVERAGEIFS('Plant ESG Quarterly'!$E:$E,'Plant ESG Quarterly'!$A:$A,$A8)</f>
        <v>0.23875000000000002</v>
      </c>
      <c r="D8" s="17">
        <f>SUMIFS('Plant ESG Quarterly'!$F:$F,'Plant ESG Quarterly'!$A:$A,$A8)</f>
        <v>399072</v>
      </c>
      <c r="E8" s="18">
        <f>AVERAGEIFS('Plant ESG Quarterly'!$G:$G,'Plant ESG Quarterly'!$A:$A,$A8)</f>
        <v>0.67249999999999999</v>
      </c>
      <c r="F8" s="17">
        <f>SUMIFS('Plant ESG Quarterly'!$H:$H,'Plant ESG Quarterly'!$A:$A,$A8)</f>
        <v>765.39999999999986</v>
      </c>
      <c r="G8" s="17">
        <f>SUMIFS('Plant ESG Quarterly'!$I:$I,'Plant ESG Quarterly'!$A:$A,$A8)</f>
        <v>14</v>
      </c>
      <c r="H8" s="19">
        <f>AVERAGEIFS('Plant ESG Quarterly'!$J:$J,'Plant ESG Quarterly'!$A:$A,$A8)</f>
        <v>1.4199999999999997</v>
      </c>
      <c r="I8" s="17">
        <f>AVERAGEIFS('Plant ESG Quarterly'!$K:$K,'Plant ESG Quarterly'!$A:$A,$A8)</f>
        <v>15.75</v>
      </c>
      <c r="J8" s="18">
        <f>AVERAGEIFS('Plant ESG Quarterly'!$L:$L,'Plant ESG Quarterly'!$A:$A,$A8)</f>
        <v>0.21124999999999999</v>
      </c>
      <c r="K8" s="17">
        <f>AVERAGEIFS('Plant ESG Quarterly'!$M:$M,'Plant ESG Quarterly'!$A:$A,$A8)</f>
        <v>1168.625</v>
      </c>
    </row>
    <row r="12" spans="1:11" ht="17.5">
      <c r="A12" s="22" t="s">
        <v>190</v>
      </c>
    </row>
    <row r="14" spans="1:11">
      <c r="A14" s="20" t="s">
        <v>191</v>
      </c>
      <c r="B14" s="20" t="s">
        <v>192</v>
      </c>
      <c r="C14" s="20" t="s">
        <v>193</v>
      </c>
      <c r="D14" s="20" t="s">
        <v>194</v>
      </c>
      <c r="E14" s="20" t="s">
        <v>195</v>
      </c>
    </row>
    <row r="15" spans="1:11">
      <c r="A15" s="20" t="s">
        <v>180</v>
      </c>
      <c r="B15" s="17">
        <f>SUMIFS('Plant ESG Quarterly'!$C:$C,'Plant ESG Quarterly'!$B:$B,"*FY25")+SUMIFS('Plant ESG Quarterly'!$D:$D,'Plant ESG Quarterly'!$B:$B,"*FY25")</f>
        <v>96317</v>
      </c>
      <c r="C15" s="17">
        <f>SUMIFS('Plant ESG Quarterly'!$C:$C,'Plant ESG Quarterly'!$B:$B,"*FY26")+SUMIFS('Plant ESG Quarterly'!$D:$D,'Plant ESG Quarterly'!$B:$B,"*FY26")</f>
        <v>90617</v>
      </c>
      <c r="D15" s="17">
        <f>C15-B15</f>
        <v>-5700</v>
      </c>
      <c r="E15" s="17" t="str">
        <f>IF(D15&lt;0,"Emissions decreased",IF(D15&gt;0,"Emissions increased","No change"))</f>
        <v>Emissions decreased</v>
      </c>
    </row>
    <row r="16" spans="1:11">
      <c r="A16" s="20" t="s">
        <v>196</v>
      </c>
      <c r="B16" s="21">
        <f>AVERAGEIFS('Plant ESG Quarterly'!$E:$E,'Plant ESG Quarterly'!$B:$B,"*FY25")</f>
        <v>0.16899999999999998</v>
      </c>
      <c r="C16" s="21">
        <f>AVERAGEIFS('Plant ESG Quarterly'!$E:$E,'Plant ESG Quarterly'!$B:$B,"*FY26")</f>
        <v>0.29349999999999998</v>
      </c>
      <c r="D16" s="21">
        <f t="shared" ref="D16:D23" si="0">C16-B16</f>
        <v>0.1245</v>
      </c>
      <c r="E16" s="17" t="str">
        <f>IF(D16&gt;0,"Renewable share increased",IF(D16&lt;0,"Renewable share decreased","No change"))</f>
        <v>Renewable share increased</v>
      </c>
    </row>
    <row r="17" spans="1:5">
      <c r="A17" s="20" t="s">
        <v>182</v>
      </c>
      <c r="B17" s="17">
        <f>SUMIFS('Plant ESG Quarterly'!$F:$F,'Plant ESG Quarterly'!$B:$B,"*FY25")</f>
        <v>1078030</v>
      </c>
      <c r="C17" s="17">
        <f>SUMIFS('Plant ESG Quarterly'!$F:$F,'Plant ESG Quarterly'!$B:$B,"*FY26")</f>
        <v>1002124</v>
      </c>
      <c r="D17" s="17">
        <f t="shared" si="0"/>
        <v>-75906</v>
      </c>
      <c r="E17" s="17" t="str">
        <f>IF(D17&lt;0,"Water withdrawal decreased",IF(D17&gt;0,"Water withdrawal increased","No change"))</f>
        <v>Water withdrawal decreased</v>
      </c>
    </row>
    <row r="18" spans="1:5">
      <c r="A18" s="20" t="s">
        <v>197</v>
      </c>
      <c r="B18" s="21">
        <f>AVERAGEIFS('Plant ESG Quarterly'!$G:$G,'Plant ESG Quarterly'!$B:$B,"*FY25")</f>
        <v>0.59550000000000003</v>
      </c>
      <c r="C18" s="21">
        <f>AVERAGEIFS('Plant ESG Quarterly'!$G:$G,'Plant ESG Quarterly'!$B:$B,"*FY26")</f>
        <v>0.70649999999999991</v>
      </c>
      <c r="D18" s="21">
        <f t="shared" si="0"/>
        <v>0.11099999999999988</v>
      </c>
      <c r="E18" s="17" t="str">
        <f>IF(D18&gt;0,"Recycling share increased",IF(D18&lt;0,"Recycling share decreased","No change"))</f>
        <v>Recycling share increased</v>
      </c>
    </row>
    <row r="19" spans="1:5">
      <c r="A19" s="20" t="s">
        <v>184</v>
      </c>
      <c r="B19" s="17">
        <f>SUMIFS('Plant ESG Quarterly'!$H:$H,'Plant ESG Quarterly'!$B:$B,"*FY25")</f>
        <v>1878.1999999999998</v>
      </c>
      <c r="C19" s="17">
        <f>SUMIFS('Plant ESG Quarterly'!$H:$H,'Plant ESG Quarterly'!$B:$B,"*FY26")</f>
        <v>1928.1000000000001</v>
      </c>
      <c r="D19" s="17">
        <f t="shared" si="0"/>
        <v>49.900000000000318</v>
      </c>
      <c r="E19" s="17" t="str">
        <f>IF(D19&lt;0,"Hazardous waste decreased",IF(D19&gt;0,"Hazardous waste increased","No change"))</f>
        <v>Hazardous waste increased</v>
      </c>
    </row>
    <row r="20" spans="1:5">
      <c r="A20" s="20" t="s">
        <v>198</v>
      </c>
      <c r="B20" s="17">
        <f>SUMIFS('Plant ESG Quarterly'!$I:$I,'Plant ESG Quarterly'!$B:$B,"*FY25")</f>
        <v>21</v>
      </c>
      <c r="C20" s="17">
        <f>SUMIFS('Plant ESG Quarterly'!$I:$I,'Plant ESG Quarterly'!$B:$B,"*FY26")</f>
        <v>28</v>
      </c>
      <c r="D20" s="17">
        <f t="shared" si="0"/>
        <v>7</v>
      </c>
      <c r="E20" s="17" t="str">
        <f>IF(D20&lt;0,"Injuries decreased",IF(D20&gt;0,"Injuries increased","No change"))</f>
        <v>Injuries increased</v>
      </c>
    </row>
    <row r="21" spans="1:5">
      <c r="A21" s="20" t="s">
        <v>199</v>
      </c>
      <c r="B21" s="17">
        <f>AVERAGEIFS('Plant ESG Quarterly'!$J:$J,'Plant ESG Quarterly'!$B:$B,"*FY25")</f>
        <v>1.7699999999999996</v>
      </c>
      <c r="C21" s="17">
        <f>AVERAGEIFS('Plant ESG Quarterly'!$J:$J,'Plant ESG Quarterly'!$B:$B,"*FY26")</f>
        <v>1.639</v>
      </c>
      <c r="D21" s="17">
        <f t="shared" si="0"/>
        <v>-0.13099999999999956</v>
      </c>
      <c r="E21" s="17" t="str">
        <f>IF(D21&lt;0,"LTIFR decreased",IF(D21&gt;0,"LTIFR increased","No change"))</f>
        <v>LTIFR decreased</v>
      </c>
    </row>
    <row r="22" spans="1:5">
      <c r="A22" s="20" t="s">
        <v>200</v>
      </c>
      <c r="B22" s="17">
        <f>AVERAGEIFS('Plant ESG Quarterly'!$K:$K,'Plant ESG Quarterly'!$B:$B,"*FY25")</f>
        <v>16.8</v>
      </c>
      <c r="C22" s="17">
        <f>AVERAGEIFS('Plant ESG Quarterly'!$K:$K,'Plant ESG Quarterly'!$B:$B,"*FY26")</f>
        <v>14.55</v>
      </c>
      <c r="D22" s="17">
        <f t="shared" si="0"/>
        <v>-2.25</v>
      </c>
      <c r="E22" s="17" t="str">
        <f>IF(D22&gt;0,"Training hours increased",IF(D22&lt;0,"Training hours decreased","No change"))</f>
        <v>Training hours decreased</v>
      </c>
    </row>
    <row r="23" spans="1:5">
      <c r="A23" s="20" t="s">
        <v>201</v>
      </c>
      <c r="B23" s="21">
        <f>AVERAGEIFS('Plant ESG Quarterly'!$L:$L,'Plant ESG Quarterly'!$B:$B,"*FY25")</f>
        <v>0.184</v>
      </c>
      <c r="C23" s="21">
        <f>AVERAGEIFS('Plant ESG Quarterly'!$L:$L,'Plant ESG Quarterly'!$B:$B,"*FY26")</f>
        <v>0.23900000000000002</v>
      </c>
      <c r="D23" s="21">
        <f t="shared" si="0"/>
        <v>5.5000000000000021E-2</v>
      </c>
      <c r="E23" s="17" t="str">
        <f>IF(D23&gt;0,"Women workforce share increased",IF(D23&lt;0,"Women workforce share decreased","No change"))</f>
        <v>Women workforce share increased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 Brief</vt:lpstr>
      <vt:lpstr>Plant ESG Quarterly</vt:lpstr>
      <vt:lpstr>Data Dictionary</vt:lpstr>
      <vt:lpstr>AI Use Log</vt:lpstr>
      <vt:lpstr>BRSR Indicator Mapping</vt:lpstr>
      <vt:lpstr>Plant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Jayani Bindal</cp:lastModifiedBy>
  <cp:revision>0</cp:revision>
  <dcterms:created xsi:type="dcterms:W3CDTF">2026-09-25T16:15:27Z</dcterms:created>
  <dcterms:modified xsi:type="dcterms:W3CDTF">2026-10-04T10:47:09Z</dcterms:modified>
  <dc:language>en-US</dc:language>
</cp:coreProperties>
</file>